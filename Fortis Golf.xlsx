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9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FA615669-646E-374E-AB32-96585B150A53}" xr6:coauthVersionLast="47" xr6:coauthVersionMax="47" xr10:uidLastSave="{00000000-0000-0000-0000-000000000000}"/>
  <bookViews>
    <workbookView xWindow="0" yWindow="0" windowWidth="28800" windowHeight="12270" xr2:uid="{00000000-000D-0000-FFFF-FFFF00000000}"/>
  </bookViews>
  <sheets>
    <sheet name="Setup" sheetId="1" r:id="rId1"/>
    <sheet name="Scorecard" sheetId="2" r:id="rId2"/>
    <sheet name="Leaderboar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E7" i="3"/>
  <c r="C7" i="3"/>
  <c r="B7" i="3"/>
  <c r="A7" i="3"/>
  <c r="E6" i="3"/>
  <c r="C6" i="3"/>
  <c r="B6" i="3"/>
  <c r="A6" i="3"/>
  <c r="E5" i="3"/>
  <c r="C5" i="3"/>
  <c r="C4" i="3"/>
  <c r="C9" i="3"/>
  <c r="B5" i="3"/>
  <c r="E4" i="3"/>
  <c r="E9" i="3"/>
  <c r="B4" i="3"/>
  <c r="U21" i="2"/>
  <c r="V21" i="2"/>
  <c r="W21" i="2"/>
  <c r="X21" i="2"/>
  <c r="AJ21" i="2"/>
  <c r="AI21" i="2"/>
  <c r="AH21" i="2"/>
  <c r="AG21" i="2"/>
  <c r="AB21" i="2"/>
  <c r="AF21" i="2"/>
  <c r="AA21" i="2"/>
  <c r="AE21" i="2"/>
  <c r="Z21" i="2"/>
  <c r="AD21" i="2"/>
  <c r="Y21" i="2"/>
  <c r="AC21" i="2"/>
  <c r="T21" i="2"/>
  <c r="S21" i="2"/>
  <c r="R21" i="2"/>
  <c r="O21" i="2"/>
  <c r="Q21" i="2"/>
  <c r="N21" i="2"/>
  <c r="P21" i="2"/>
  <c r="I21" i="2"/>
  <c r="H21" i="2"/>
  <c r="G21" i="2"/>
  <c r="F21" i="2"/>
  <c r="U20" i="2"/>
  <c r="R20" i="2"/>
  <c r="V20" i="2"/>
  <c r="W20" i="2"/>
  <c r="X20" i="2"/>
  <c r="AJ20" i="2"/>
  <c r="AI20" i="2"/>
  <c r="AH20" i="2"/>
  <c r="AG20" i="2"/>
  <c r="AB20" i="2"/>
  <c r="AA20" i="2"/>
  <c r="Y20" i="2"/>
  <c r="AF20" i="2"/>
  <c r="M21" i="2"/>
  <c r="AE20" i="2"/>
  <c r="L21" i="2"/>
  <c r="Z20" i="2"/>
  <c r="AD20" i="2"/>
  <c r="K21" i="2"/>
  <c r="AC20" i="2"/>
  <c r="J21" i="2"/>
  <c r="T20" i="2"/>
  <c r="S20" i="2"/>
  <c r="O20" i="2"/>
  <c r="Q20" i="2"/>
  <c r="N20" i="2"/>
  <c r="P20" i="2"/>
  <c r="I20" i="2"/>
  <c r="H20" i="2"/>
  <c r="G20" i="2"/>
  <c r="F20" i="2"/>
  <c r="U19" i="2"/>
  <c r="S19" i="2"/>
  <c r="R19" i="2"/>
  <c r="AB17" i="2"/>
  <c r="Y17" i="2"/>
  <c r="AC17" i="2"/>
  <c r="Y18" i="2"/>
  <c r="Z17" i="2"/>
  <c r="AD17" i="2"/>
  <c r="Z18" i="2"/>
  <c r="AA17" i="2"/>
  <c r="AE17" i="2"/>
  <c r="AA18" i="2"/>
  <c r="AF17" i="2"/>
  <c r="AB18" i="2"/>
  <c r="AC18" i="2"/>
  <c r="J19" i="2"/>
  <c r="AD18" i="2"/>
  <c r="K19" i="2"/>
  <c r="AE18" i="2"/>
  <c r="L19" i="2"/>
  <c r="AF18" i="2"/>
  <c r="M19" i="2"/>
  <c r="V19" i="2"/>
  <c r="T19" i="2"/>
  <c r="W19" i="2"/>
  <c r="X19" i="2"/>
  <c r="AJ19" i="2"/>
  <c r="AI19" i="2"/>
  <c r="AH19" i="2"/>
  <c r="AG19" i="2"/>
  <c r="AB19" i="2"/>
  <c r="AA19" i="2"/>
  <c r="Z19" i="2"/>
  <c r="Y19" i="2"/>
  <c r="AF19" i="2"/>
  <c r="M20" i="2"/>
  <c r="AE19" i="2"/>
  <c r="L20" i="2"/>
  <c r="AD19" i="2"/>
  <c r="K20" i="2"/>
  <c r="AC19" i="2"/>
  <c r="J20" i="2"/>
  <c r="N19" i="2"/>
  <c r="P19" i="2"/>
  <c r="O19" i="2"/>
  <c r="Q19" i="2"/>
  <c r="I19" i="2"/>
  <c r="H19" i="2"/>
  <c r="G19" i="2"/>
  <c r="F19" i="2"/>
  <c r="U18" i="2"/>
  <c r="J18" i="2"/>
  <c r="K18" i="2"/>
  <c r="L18" i="2"/>
  <c r="M18" i="2"/>
  <c r="V18" i="2"/>
  <c r="S18" i="2"/>
  <c r="W18" i="2"/>
  <c r="X18" i="2"/>
  <c r="AJ18" i="2"/>
  <c r="AI18" i="2"/>
  <c r="AH18" i="2"/>
  <c r="AG18" i="2"/>
  <c r="T18" i="2"/>
  <c r="R18" i="2"/>
  <c r="O18" i="2"/>
  <c r="Q18" i="2"/>
  <c r="N18" i="2"/>
  <c r="P18" i="2"/>
  <c r="I18" i="2"/>
  <c r="H18" i="2"/>
  <c r="G18" i="2"/>
  <c r="F18" i="2"/>
  <c r="U17" i="2"/>
  <c r="R17" i="2"/>
  <c r="V17" i="2"/>
  <c r="S17" i="2"/>
  <c r="W17" i="2"/>
  <c r="X17" i="2"/>
  <c r="AJ17" i="2"/>
  <c r="AI17" i="2"/>
  <c r="AH17" i="2"/>
  <c r="AG17" i="2"/>
  <c r="T17" i="2"/>
  <c r="O17" i="2"/>
  <c r="Q17" i="2"/>
  <c r="N17" i="2"/>
  <c r="P17" i="2"/>
  <c r="I17" i="2"/>
  <c r="H17" i="2"/>
  <c r="G17" i="2"/>
  <c r="F17" i="2"/>
  <c r="U16" i="2"/>
  <c r="T16" i="2"/>
  <c r="R16" i="2"/>
  <c r="V16" i="2"/>
  <c r="W16" i="2"/>
  <c r="X16" i="2"/>
  <c r="AJ16" i="2"/>
  <c r="AI16" i="2"/>
  <c r="AH16" i="2"/>
  <c r="AG16" i="2"/>
  <c r="AB16" i="2"/>
  <c r="Y16" i="2"/>
  <c r="AA16" i="2"/>
  <c r="Z16" i="2"/>
  <c r="AF16" i="2"/>
  <c r="M17" i="2"/>
  <c r="AE16" i="2"/>
  <c r="L17" i="2"/>
  <c r="AD16" i="2"/>
  <c r="K17" i="2"/>
  <c r="AC16" i="2"/>
  <c r="J17" i="2"/>
  <c r="S16" i="2"/>
  <c r="O16" i="2"/>
  <c r="Q16" i="2"/>
  <c r="N16" i="2"/>
  <c r="P16" i="2"/>
  <c r="AA15" i="2"/>
  <c r="AB15" i="2"/>
  <c r="Z15" i="2"/>
  <c r="Y15" i="2"/>
  <c r="AE15" i="2"/>
  <c r="L16" i="2"/>
  <c r="I16" i="2"/>
  <c r="H16" i="2"/>
  <c r="G16" i="2"/>
  <c r="F16" i="2"/>
  <c r="U15" i="2"/>
  <c r="V15" i="2"/>
  <c r="S15" i="2"/>
  <c r="R15" i="2"/>
  <c r="T15" i="2"/>
  <c r="W15" i="2"/>
  <c r="X15" i="2"/>
  <c r="AJ15" i="2"/>
  <c r="AI15" i="2"/>
  <c r="AH15" i="2"/>
  <c r="AG15" i="2"/>
  <c r="AF15" i="2"/>
  <c r="M16" i="2"/>
  <c r="AD15" i="2"/>
  <c r="K16" i="2"/>
  <c r="AC15" i="2"/>
  <c r="J16" i="2"/>
  <c r="N15" i="2"/>
  <c r="P15" i="2"/>
  <c r="O15" i="2"/>
  <c r="Q15" i="2"/>
  <c r="I15" i="2"/>
  <c r="H15" i="2"/>
  <c r="G15" i="2"/>
  <c r="F15" i="2"/>
  <c r="U14" i="2"/>
  <c r="Y9" i="2"/>
  <c r="AB9" i="2"/>
  <c r="Z9" i="2"/>
  <c r="AA9" i="2"/>
  <c r="AC9" i="2"/>
  <c r="Y10" i="2"/>
  <c r="AD9" i="2"/>
  <c r="Z10" i="2"/>
  <c r="AE9" i="2"/>
  <c r="AA10" i="2"/>
  <c r="AF9" i="2"/>
  <c r="AB10" i="2"/>
  <c r="AC10" i="2"/>
  <c r="Y11" i="2"/>
  <c r="AD10" i="2"/>
  <c r="Z11" i="2"/>
  <c r="AE10" i="2"/>
  <c r="AA11" i="2"/>
  <c r="AF10" i="2"/>
  <c r="AB11" i="2"/>
  <c r="AC11" i="2"/>
  <c r="Y12" i="2"/>
  <c r="AD11" i="2"/>
  <c r="Z12" i="2"/>
  <c r="AE11" i="2"/>
  <c r="AA12" i="2"/>
  <c r="AF11" i="2"/>
  <c r="AB12" i="2"/>
  <c r="AC12" i="2"/>
  <c r="Y13" i="2"/>
  <c r="AD12" i="2"/>
  <c r="Z13" i="2"/>
  <c r="AE12" i="2"/>
  <c r="AA13" i="2"/>
  <c r="AF12" i="2"/>
  <c r="AB13" i="2"/>
  <c r="AC13" i="2"/>
  <c r="J14" i="2"/>
  <c r="AD13" i="2"/>
  <c r="K14" i="2"/>
  <c r="AE13" i="2"/>
  <c r="L14" i="2"/>
  <c r="AF13" i="2"/>
  <c r="M14" i="2"/>
  <c r="V14" i="2"/>
  <c r="T14" i="2"/>
  <c r="W14" i="2"/>
  <c r="X14" i="2"/>
  <c r="AJ14" i="2"/>
  <c r="AI14" i="2"/>
  <c r="AH14" i="2"/>
  <c r="AG14" i="2"/>
  <c r="AB14" i="2"/>
  <c r="AA14" i="2"/>
  <c r="Y14" i="2"/>
  <c r="Z14" i="2"/>
  <c r="AF14" i="2"/>
  <c r="M15" i="2"/>
  <c r="AE14" i="2"/>
  <c r="L15" i="2"/>
  <c r="AD14" i="2"/>
  <c r="K15" i="2"/>
  <c r="AC14" i="2"/>
  <c r="J15" i="2"/>
  <c r="S14" i="2"/>
  <c r="R14" i="2"/>
  <c r="O14" i="2"/>
  <c r="Q14" i="2"/>
  <c r="N14" i="2"/>
  <c r="P14" i="2"/>
  <c r="I14" i="2"/>
  <c r="H14" i="2"/>
  <c r="G14" i="2"/>
  <c r="F14" i="2"/>
  <c r="U13" i="2"/>
  <c r="R13" i="2"/>
  <c r="Z8" i="2"/>
  <c r="Y8" i="2"/>
  <c r="AA8" i="2"/>
  <c r="AB8" i="2"/>
  <c r="AC8" i="2"/>
  <c r="AD8" i="2"/>
  <c r="AE8" i="2"/>
  <c r="AF8" i="2"/>
  <c r="J13" i="2"/>
  <c r="K13" i="2"/>
  <c r="L13" i="2"/>
  <c r="M13" i="2"/>
  <c r="V13" i="2"/>
  <c r="S13" i="2"/>
  <c r="W13" i="2"/>
  <c r="X13" i="2"/>
  <c r="AJ13" i="2"/>
  <c r="AI13" i="2"/>
  <c r="AH13" i="2"/>
  <c r="AG13" i="2"/>
  <c r="T13" i="2"/>
  <c r="O13" i="2"/>
  <c r="Q13" i="2"/>
  <c r="N13" i="2"/>
  <c r="P13" i="2"/>
  <c r="I13" i="2"/>
  <c r="H13" i="2"/>
  <c r="G13" i="2"/>
  <c r="F13" i="2"/>
  <c r="U12" i="2"/>
  <c r="T12" i="2"/>
  <c r="S12" i="2"/>
  <c r="R12" i="2"/>
  <c r="I12" i="2"/>
  <c r="H12" i="2"/>
  <c r="G12" i="2"/>
  <c r="F12" i="2"/>
  <c r="U11" i="2"/>
  <c r="T11" i="2"/>
  <c r="S11" i="2"/>
  <c r="R11" i="2"/>
  <c r="I11" i="2"/>
  <c r="H11" i="2"/>
  <c r="G11" i="2"/>
  <c r="F11" i="2"/>
  <c r="U10" i="2"/>
  <c r="T10" i="2"/>
  <c r="S10" i="2"/>
  <c r="R10" i="2"/>
  <c r="I10" i="2"/>
  <c r="H10" i="2"/>
  <c r="G10" i="2"/>
  <c r="F10" i="2"/>
  <c r="U9" i="2"/>
  <c r="T9" i="2"/>
  <c r="S9" i="2"/>
  <c r="R9" i="2"/>
  <c r="I9" i="2"/>
  <c r="H9" i="2"/>
  <c r="G9" i="2"/>
  <c r="F9" i="2"/>
  <c r="U8" i="2"/>
  <c r="T8" i="2"/>
  <c r="S8" i="2"/>
  <c r="R8" i="2"/>
  <c r="I8" i="2"/>
  <c r="H8" i="2"/>
  <c r="G8" i="2"/>
  <c r="F8" i="2"/>
  <c r="U7" i="2"/>
  <c r="T7" i="2"/>
  <c r="S7" i="2"/>
  <c r="R7" i="2"/>
  <c r="I7" i="2"/>
  <c r="H7" i="2"/>
  <c r="G7" i="2"/>
  <c r="F7" i="2"/>
  <c r="U6" i="2"/>
  <c r="T6" i="2"/>
  <c r="S6" i="2"/>
  <c r="R6" i="2"/>
  <c r="I6" i="2"/>
  <c r="H6" i="2"/>
  <c r="G6" i="2"/>
  <c r="F6" i="2"/>
  <c r="U5" i="2"/>
  <c r="T5" i="2"/>
  <c r="S5" i="2"/>
  <c r="R5" i="2"/>
  <c r="I5" i="2"/>
  <c r="H5" i="2"/>
  <c r="G5" i="2"/>
  <c r="F5" i="2"/>
  <c r="AB4" i="2"/>
  <c r="Y4" i="2"/>
  <c r="Z4" i="2"/>
  <c r="AA4" i="2"/>
  <c r="AF4" i="2"/>
  <c r="AE4" i="2"/>
  <c r="AD4" i="2"/>
  <c r="AC4" i="2"/>
  <c r="J5" i="2"/>
  <c r="U4" i="2"/>
  <c r="T4" i="2"/>
  <c r="S4" i="2"/>
  <c r="R4" i="2"/>
  <c r="M4" i="2"/>
  <c r="L4" i="2"/>
  <c r="K4" i="2"/>
  <c r="J4" i="2"/>
  <c r="O4" i="2"/>
  <c r="Q4" i="2"/>
  <c r="W4" i="2"/>
  <c r="I4" i="2"/>
  <c r="H4" i="2"/>
  <c r="G4" i="2"/>
  <c r="F4" i="2"/>
  <c r="AJ3" i="2"/>
  <c r="AI3" i="2"/>
  <c r="AH3" i="2"/>
  <c r="AG3" i="2"/>
  <c r="U3" i="2"/>
  <c r="T3" i="2"/>
  <c r="S3" i="2"/>
  <c r="R3" i="2"/>
  <c r="M3" i="2"/>
  <c r="L3" i="2"/>
  <c r="K3" i="2"/>
  <c r="J3" i="2"/>
  <c r="I3" i="2"/>
  <c r="H3" i="2"/>
  <c r="G3" i="2"/>
  <c r="F3" i="2"/>
  <c r="E3" i="2"/>
  <c r="D3" i="2"/>
  <c r="C3" i="2"/>
  <c r="B3" i="2"/>
  <c r="AB5" i="2"/>
  <c r="M5" i="2"/>
  <c r="K5" i="2"/>
  <c r="Z5" i="2"/>
  <c r="L5" i="2"/>
  <c r="AA5" i="2"/>
  <c r="W5" i="2"/>
  <c r="O5" i="2"/>
  <c r="Q5" i="2"/>
  <c r="V5" i="2"/>
  <c r="N5" i="2"/>
  <c r="P5" i="2"/>
  <c r="Y5" i="2"/>
  <c r="AC5" i="2"/>
  <c r="N4" i="2"/>
  <c r="P4" i="2"/>
  <c r="V4" i="2"/>
  <c r="X4" i="2"/>
  <c r="AJ4" i="2"/>
  <c r="AD5" i="2"/>
  <c r="AI4" i="2"/>
  <c r="X5" i="2"/>
  <c r="AH5" i="2"/>
  <c r="Y6" i="2"/>
  <c r="J6" i="2"/>
  <c r="AG5" i="2"/>
  <c r="AE5" i="2"/>
  <c r="AJ5" i="2"/>
  <c r="AH4" i="2"/>
  <c r="AG4" i="2"/>
  <c r="AI5" i="2"/>
  <c r="AF5" i="2"/>
  <c r="L6" i="2"/>
  <c r="AA6" i="2"/>
  <c r="M6" i="2"/>
  <c r="AB6" i="2"/>
  <c r="K6" i="2"/>
  <c r="W6" i="2"/>
  <c r="O6" i="2"/>
  <c r="Q6" i="2"/>
  <c r="Z6" i="2"/>
  <c r="AD6" i="2"/>
  <c r="AE6" i="2"/>
  <c r="AF6" i="2"/>
  <c r="AC6" i="2"/>
  <c r="Z7" i="2"/>
  <c r="K7" i="2"/>
  <c r="V6" i="2"/>
  <c r="X6" i="2"/>
  <c r="AG6" i="2"/>
  <c r="N6" i="2"/>
  <c r="P6" i="2"/>
  <c r="M7" i="2"/>
  <c r="AB7" i="2"/>
  <c r="AH6" i="2"/>
  <c r="AJ6" i="2"/>
  <c r="AI6" i="2"/>
  <c r="J7" i="2"/>
  <c r="Y7" i="2"/>
  <c r="AA7" i="2"/>
  <c r="AC7" i="2"/>
  <c r="L7" i="2"/>
  <c r="AD7" i="2"/>
  <c r="J8" i="2"/>
  <c r="AF7" i="2"/>
  <c r="V7" i="2"/>
  <c r="N7" i="2"/>
  <c r="P7" i="2"/>
  <c r="W7" i="2"/>
  <c r="O7" i="2"/>
  <c r="Q7" i="2"/>
  <c r="AE7" i="2"/>
  <c r="L8" i="2"/>
  <c r="K8" i="2"/>
  <c r="M8" i="2"/>
  <c r="W8" i="2"/>
  <c r="X7" i="2"/>
  <c r="N8" i="2"/>
  <c r="P8" i="2"/>
  <c r="V8" i="2"/>
  <c r="X8" i="2"/>
  <c r="AG8" i="2"/>
  <c r="M9" i="2"/>
  <c r="AH7" i="2"/>
  <c r="AI7" i="2"/>
  <c r="AJ7" i="2"/>
  <c r="AG7" i="2"/>
  <c r="O8" i="2"/>
  <c r="Q8" i="2"/>
  <c r="AH8" i="2"/>
  <c r="J9" i="2"/>
  <c r="AJ8" i="2"/>
  <c r="AI8" i="2"/>
  <c r="L9" i="2"/>
  <c r="K9" i="2"/>
  <c r="L10" i="2"/>
  <c r="W9" i="2"/>
  <c r="O9" i="2"/>
  <c r="Q9" i="2"/>
  <c r="V9" i="2"/>
  <c r="X9" i="2"/>
  <c r="AJ9" i="2"/>
  <c r="N9" i="2"/>
  <c r="P9" i="2"/>
  <c r="AI9" i="2"/>
  <c r="J10" i="2"/>
  <c r="M10" i="2"/>
  <c r="AH9" i="2"/>
  <c r="AG9" i="2"/>
  <c r="K10" i="2"/>
  <c r="K11" i="2"/>
  <c r="V10" i="2"/>
  <c r="W10" i="2"/>
  <c r="X10" i="2"/>
  <c r="AG10" i="2"/>
  <c r="O10" i="2"/>
  <c r="Q10" i="2"/>
  <c r="AI10" i="2"/>
  <c r="N10" i="2"/>
  <c r="P10" i="2"/>
  <c r="AJ10" i="2"/>
  <c r="J11" i="2"/>
  <c r="M11" i="2"/>
  <c r="L11" i="2"/>
  <c r="AH10" i="2"/>
  <c r="V11" i="2"/>
  <c r="N11" i="2"/>
  <c r="P11" i="2"/>
  <c r="O11" i="2"/>
  <c r="Q11" i="2"/>
  <c r="W11" i="2"/>
  <c r="M12" i="2"/>
  <c r="K12" i="2"/>
  <c r="L12" i="2"/>
  <c r="J12" i="2"/>
  <c r="X11" i="2"/>
  <c r="AH11" i="2"/>
  <c r="AI11" i="2"/>
  <c r="AG11" i="2"/>
  <c r="AJ11" i="2"/>
  <c r="W12" i="2"/>
  <c r="O12" i="2"/>
  <c r="Q12" i="2"/>
  <c r="V12" i="2"/>
  <c r="N12" i="2"/>
  <c r="P12" i="2"/>
  <c r="X12" i="2"/>
  <c r="AJ12" i="2"/>
  <c r="AI12" i="2"/>
  <c r="AH12" i="2"/>
  <c r="AG12" i="2"/>
  <c r="D4" i="3"/>
  <c r="AG22" i="2"/>
  <c r="AH22" i="2"/>
  <c r="D5" i="3"/>
  <c r="F5" i="3"/>
  <c r="AI22" i="2"/>
  <c r="D6" i="3"/>
  <c r="F6" i="3"/>
  <c r="AJ22" i="2"/>
  <c r="D7" i="3"/>
  <c r="F7" i="3"/>
  <c r="D9" i="3"/>
  <c r="F9" i="3"/>
  <c r="F4" i="3"/>
</calcChain>
</file>

<file path=xl/sharedStrings.xml><?xml version="1.0" encoding="utf-8"?>
<sst xmlns="http://schemas.openxmlformats.org/spreadsheetml/2006/main" count="59" uniqueCount="55">
  <si>
    <t>4‑Player Rotating Teams Golf Game – Setup</t>
  </si>
  <si>
    <t>Players (enter names + driving distance)</t>
  </si>
  <si>
    <t>Player ID</t>
  </si>
  <si>
    <t>Player Name</t>
  </si>
  <si>
    <t>Driving Rank (1-4)</t>
  </si>
  <si>
    <t>Notes</t>
  </si>
  <si>
    <t>Enter rank 1-4</t>
  </si>
  <si>
    <t>How teams are formed</t>
  </si>
  <si>
    <t>Hole 1: teams are balanced using driving distance (longest pairs with shortest; 2nd with 3rd).</t>
  </si>
  <si>
    <t>Hole 2 onward: teams are balanced using total score through the previous hole:</t>
  </si>
  <si>
    <t>• Lowest (best) total score pairs with highest (worst) total score.</t>
  </si>
  <si>
    <t>• If totals are tied, the previous hole score breaks the tie (lower is better).</t>
  </si>
  <si>
    <t>• If still tied, driving distance breaks the tie (longer ranks first).</t>
  </si>
  <si>
    <t>Enter each player's score for each hole on the Scorecard sheet as score relative to par (e.g., -1, 0, +2).</t>
  </si>
  <si>
    <t>Points per player (based on TEAM hole score relative to par)</t>
  </si>
  <si>
    <t>Team Hole Score</t>
  </si>
  <si>
    <t>Points / Player</t>
  </si>
  <si>
    <t>≤ -2</t>
  </si>
  <si>
    <t>-1</t>
  </si>
  <si>
    <t>0</t>
  </si>
  <si>
    <t>1</t>
  </si>
  <si>
    <t>2</t>
  </si>
  <si>
    <t>≥ 3</t>
  </si>
  <si>
    <t>Scorecard (enter each player's score relative to par for each hole)</t>
  </si>
  <si>
    <t>Hole</t>
  </si>
  <si>
    <t>Team A
Hole Score</t>
  </si>
  <si>
    <t>Team B
Hole Score</t>
  </si>
  <si>
    <t>Pts/Player
Team A</t>
  </si>
  <si>
    <t>Pts/Player
Team B</t>
  </si>
  <si>
    <t>Team A
Total BasePts</t>
  </si>
  <si>
    <t>Team B
Total BasePts</t>
  </si>
  <si>
    <t>Net BasePts
(A − B)</t>
  </si>
  <si>
    <t>Key P1</t>
  </si>
  <si>
    <t>Key P2</t>
  </si>
  <si>
    <t>Key P3</t>
  </si>
  <si>
    <t>Key P4</t>
  </si>
  <si>
    <t>Rank P1</t>
  </si>
  <si>
    <t>Rank P2</t>
  </si>
  <si>
    <t>Rank P3</t>
  </si>
  <si>
    <t>Rank P4</t>
  </si>
  <si>
    <t>Net Total</t>
  </si>
  <si>
    <t>Leaderboard</t>
  </si>
  <si>
    <t>Player</t>
  </si>
  <si>
    <t>Driving Rank</t>
  </si>
  <si>
    <t>Total Score (±par)</t>
  </si>
  <si>
    <t>Total Net Points</t>
  </si>
  <si>
    <t>Holes Entered</t>
  </si>
  <si>
    <t>Avg Pts/Hole</t>
  </si>
  <si>
    <t>TOTAL</t>
  </si>
  <si>
    <t>• Teams change every hole based on the rules in Setup.</t>
  </si>
  <si>
    <t>• Total Net Points = per-hole team point difference assigned to each teammate (+ for winners, − for losers).</t>
  </si>
  <si>
    <t>Paul</t>
  </si>
  <si>
    <t xml:space="preserve">Nick </t>
  </si>
  <si>
    <t>Sam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</si>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</sst>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sz val="11"/>
      <color rgb="FF555555"/>
      <name val="Calibri"/>
    </font>
    <font>
      <sz val="11"/>
      <color rgb="FF0000FF"/>
      <name val="Calibri"/>
    </font>
    <font>
      <i/>
      <sz val="10"/>
      <color rgb="FF555555"/>
      <name val="Calibri"/>
    </font>
    <font>
      <sz val="10"/>
      <color rgb="FF333333"/>
      <name val="Calibri"/>
    </font>
    <font>
      <b/>
      <sz val="11"/>
      <name val="Calibri"/>
    </font>
    <font>
      <sz val="11"/>
      <color rgb="FF000000"/>
      <name val="Calibri"/>
    </font>
    <font>
      <sz val="11"/>
      <color rgb="FF7030A0"/>
      <name val="Calibri"/>
    </font>
    <font>
      <b/>
      <sz val="11"/>
      <color rgb="FF1F4E79"/>
      <name val="Calibri"/>
    </font>
    <font>
      <sz val="9"/>
      <name val="Calibri"/>
      <family val="3"/>
      <charset val="136"/>
      <scheme val="minor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4" borderId="1" xfId="0" applyFont="1" applyFill="1" applyBorder="1"/>
    <xf numFmtId="0" fontId="0" fillId="4" borderId="0" xfId="0" applyFill="1"/>
    <xf numFmtId="0" fontId="8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/>
    <xf numFmtId="0" fontId="1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topLeftCell="B2" workbookViewId="0">
      <selection activeCell="C5" sqref="C5:C8"/>
    </sheetView>
  </sheetViews>
  <sheetFormatPr defaultRowHeight="15" x14ac:dyDescent="0.2"/>
  <cols>
    <col min="1" max="1" width="11.97265625" style="19" customWidth="1"/>
    <col min="2" max="2" width="20.04296875" style="19" customWidth="1"/>
    <col min="3" max="3" width="22.05859375" style="19" customWidth="1"/>
    <col min="4" max="4" width="27.98046875" style="19" customWidth="1"/>
    <col min="5" max="6" width="2.015625" style="19" customWidth="1"/>
  </cols>
  <sheetData>
    <row r="1" spans="1:6" ht="27.95" customHeight="1" x14ac:dyDescent="0.2">
      <c r="A1" s="21" t="s">
        <v>0</v>
      </c>
      <c r="B1" s="22"/>
      <c r="C1" s="22"/>
      <c r="D1" s="22"/>
      <c r="E1" s="22"/>
      <c r="F1" s="22"/>
    </row>
    <row r="3" spans="1:6" x14ac:dyDescent="0.2">
      <c r="A3" s="24" t="s">
        <v>1</v>
      </c>
      <c r="B3" s="22"/>
      <c r="C3" s="22"/>
      <c r="D3" s="22"/>
      <c r="E3" s="22"/>
      <c r="F3" s="22"/>
    </row>
    <row r="4" spans="1:6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6" x14ac:dyDescent="0.2">
      <c r="A5" s="2">
        <v>1</v>
      </c>
      <c r="B5" s="20" t="s">
        <v>52</v>
      </c>
      <c r="C5" s="3"/>
      <c r="D5" s="4" t="s">
        <v>6</v>
      </c>
    </row>
    <row r="6" spans="1:6" x14ac:dyDescent="0.2">
      <c r="A6" s="2">
        <v>2</v>
      </c>
      <c r="B6" s="20" t="s">
        <v>51</v>
      </c>
      <c r="C6" s="3"/>
      <c r="D6" s="4" t="s">
        <v>6</v>
      </c>
    </row>
    <row r="7" spans="1:6" x14ac:dyDescent="0.2">
      <c r="A7" s="2">
        <v>3</v>
      </c>
      <c r="B7" s="20" t="s">
        <v>53</v>
      </c>
      <c r="C7" s="3"/>
      <c r="D7" s="4" t="s">
        <v>6</v>
      </c>
    </row>
    <row r="8" spans="1:6" x14ac:dyDescent="0.2">
      <c r="A8" s="2">
        <v>4</v>
      </c>
      <c r="B8" s="20" t="s">
        <v>54</v>
      </c>
      <c r="C8" s="3"/>
      <c r="D8" s="4" t="s">
        <v>6</v>
      </c>
    </row>
    <row r="10" spans="1:6" x14ac:dyDescent="0.2">
      <c r="A10" s="24" t="s">
        <v>7</v>
      </c>
      <c r="B10" s="22"/>
      <c r="C10" s="22"/>
      <c r="D10" s="22"/>
      <c r="E10" s="22"/>
      <c r="F10" s="22"/>
    </row>
    <row r="11" spans="1:6" x14ac:dyDescent="0.2">
      <c r="A11" s="23" t="s">
        <v>8</v>
      </c>
      <c r="B11" s="22"/>
      <c r="C11" s="22"/>
      <c r="D11" s="22"/>
      <c r="E11" s="22"/>
      <c r="F11" s="22"/>
    </row>
    <row r="12" spans="1:6" x14ac:dyDescent="0.2">
      <c r="A12" s="23" t="s">
        <v>9</v>
      </c>
      <c r="B12" s="22"/>
      <c r="C12" s="22"/>
      <c r="D12" s="22"/>
      <c r="E12" s="22"/>
      <c r="F12" s="22"/>
    </row>
    <row r="13" spans="1:6" x14ac:dyDescent="0.2">
      <c r="A13" s="23" t="s">
        <v>10</v>
      </c>
      <c r="B13" s="22"/>
      <c r="C13" s="22"/>
      <c r="D13" s="22"/>
      <c r="E13" s="22"/>
      <c r="F13" s="22"/>
    </row>
    <row r="14" spans="1:6" x14ac:dyDescent="0.2">
      <c r="A14" s="23" t="s">
        <v>11</v>
      </c>
      <c r="B14" s="22"/>
      <c r="C14" s="22"/>
      <c r="D14" s="22"/>
      <c r="E14" s="22"/>
      <c r="F14" s="22"/>
    </row>
    <row r="15" spans="1:6" x14ac:dyDescent="0.2">
      <c r="A15" s="23" t="s">
        <v>12</v>
      </c>
      <c r="B15" s="22"/>
      <c r="C15" s="22"/>
      <c r="D15" s="22"/>
      <c r="E15" s="22"/>
      <c r="F15" s="22"/>
    </row>
    <row r="16" spans="1:6" x14ac:dyDescent="0.2">
      <c r="A16" s="23"/>
      <c r="B16" s="22"/>
      <c r="C16" s="22"/>
      <c r="D16" s="22"/>
      <c r="E16" s="22"/>
      <c r="F16" s="22"/>
    </row>
    <row r="17" spans="1:6" x14ac:dyDescent="0.2">
      <c r="A17" s="23" t="s">
        <v>13</v>
      </c>
      <c r="B17" s="22"/>
      <c r="C17" s="22"/>
      <c r="D17" s="22"/>
      <c r="E17" s="22"/>
      <c r="F17" s="22"/>
    </row>
    <row r="20" spans="1:6" x14ac:dyDescent="0.2">
      <c r="A20" s="24" t="s">
        <v>14</v>
      </c>
      <c r="B20" s="22"/>
      <c r="C20" s="22"/>
      <c r="D20" s="22"/>
      <c r="E20" s="22"/>
      <c r="F20" s="22"/>
    </row>
    <row r="21" spans="1:6" ht="30" customHeight="1" x14ac:dyDescent="0.2">
      <c r="A21" s="1" t="s">
        <v>15</v>
      </c>
      <c r="B21" s="1" t="s">
        <v>16</v>
      </c>
    </row>
    <row r="22" spans="1:6" x14ac:dyDescent="0.2">
      <c r="A22" s="5" t="s">
        <v>17</v>
      </c>
      <c r="B22" s="6">
        <v>16</v>
      </c>
    </row>
    <row r="23" spans="1:6" x14ac:dyDescent="0.2">
      <c r="A23" s="5" t="s">
        <v>18</v>
      </c>
      <c r="B23" s="6">
        <v>8</v>
      </c>
    </row>
    <row r="24" spans="1:6" x14ac:dyDescent="0.2">
      <c r="A24" s="5" t="s">
        <v>19</v>
      </c>
      <c r="B24" s="6">
        <v>4</v>
      </c>
    </row>
    <row r="25" spans="1:6" x14ac:dyDescent="0.2">
      <c r="A25" s="5" t="s">
        <v>20</v>
      </c>
      <c r="B25" s="6">
        <v>2</v>
      </c>
    </row>
    <row r="26" spans="1:6" x14ac:dyDescent="0.2">
      <c r="A26" s="5" t="s">
        <v>21</v>
      </c>
      <c r="B26" s="6">
        <v>1</v>
      </c>
    </row>
    <row r="27" spans="1:6" x14ac:dyDescent="0.2">
      <c r="A27" s="5" t="s">
        <v>22</v>
      </c>
      <c r="B27" s="6">
        <v>0</v>
      </c>
    </row>
  </sheetData>
  <mergeCells count="11">
    <mergeCell ref="A1:F1"/>
    <mergeCell ref="A17:F17"/>
    <mergeCell ref="A12:F12"/>
    <mergeCell ref="A3:F3"/>
    <mergeCell ref="A20:F20"/>
    <mergeCell ref="A15:F15"/>
    <mergeCell ref="A16:F16"/>
    <mergeCell ref="A11:F11"/>
    <mergeCell ref="A10:F10"/>
    <mergeCell ref="A13:F13"/>
    <mergeCell ref="A14:F14"/>
  </mergeCells>
  <phoneticPr fontId="12" type="noConversion"/>
  <dataValidations count="1">
    <dataValidation type="whole" allowBlank="1" errorTitle="Invalid rank" error="Enter a whole number from 1 to 4." promptTitle="Driving Rank" prompt="Enter driving rank: 1 (longest) to 4 (shortest)." sqref="C5:C8" xr:uid="{00000000-0002-0000-0000-000000000000}">
      <formula1>1</formula1>
      <formula2>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"/>
  <sheetViews>
    <sheetView showGridLines="0" workbookViewId="0">
      <selection activeCell="B4" sqref="B4:E21"/>
    </sheetView>
  </sheetViews>
  <sheetFormatPr defaultRowHeight="15" x14ac:dyDescent="0.2"/>
  <cols>
    <col min="1" max="1" width="6.9921875" style="19" customWidth="1"/>
    <col min="2" max="5" width="9.953125" style="19" customWidth="1"/>
    <col min="6" max="9" width="11.02734375" style="19" customWidth="1"/>
    <col min="10" max="13" width="9.01171875" style="19" customWidth="1"/>
    <col min="14" max="15" width="13.98828125" style="19" customWidth="1"/>
    <col min="16" max="17" width="11.97265625" style="19" customWidth="1"/>
    <col min="18" max="21" width="9.953125" style="19" customWidth="1"/>
    <col min="22" max="23" width="13.98828125" style="19" customWidth="1"/>
    <col min="24" max="24" width="9.953125" style="19" customWidth="1"/>
    <col min="25" max="32" width="13.046875" style="19" hidden="1" customWidth="1"/>
  </cols>
  <sheetData>
    <row r="1" spans="1:36" ht="27.95" customHeight="1" x14ac:dyDescent="0.2">
      <c r="A1" s="21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3" spans="1:36" ht="33.950000000000003" customHeight="1" x14ac:dyDescent="0.2">
      <c r="A3" s="16" t="s">
        <v>24</v>
      </c>
      <c r="B3" s="1" t="str">
        <f>Setup!B5</f>
        <v xml:space="preserve">Nick </v>
      </c>
      <c r="C3" s="1" t="str">
        <f>Setup!B6</f>
        <v>Paul</v>
      </c>
      <c r="D3" s="1" t="str">
        <f>Setup!B7</f>
        <v>Sam</v>
      </c>
      <c r="E3" s="1" t="str">
        <f>Setup!B8</f>
        <v>Andy</v>
      </c>
      <c r="F3" s="1" t="str">
        <f>Setup!B5&amp;" Cum"</f>
        <v>Nick  Cum</v>
      </c>
      <c r="G3" s="1" t="str">
        <f>Setup!B6&amp;" Cum"</f>
        <v>Paul Cum</v>
      </c>
      <c r="H3" s="1" t="str">
        <f>Setup!B7&amp;" Cum"</f>
        <v>Sam Cum</v>
      </c>
      <c r="I3" s="1" t="str">
        <f>Setup!B8&amp;" Cum"</f>
        <v>Andy Cum</v>
      </c>
      <c r="J3" s="1" t="str">
        <f>Setup!B5&amp;" Team"</f>
        <v>Nick  Team</v>
      </c>
      <c r="K3" s="1" t="str">
        <f>Setup!B6&amp;" Team"</f>
        <v>Paul Team</v>
      </c>
      <c r="L3" s="1" t="str">
        <f>Setup!B7&amp;" Team"</f>
        <v>Sam Team</v>
      </c>
      <c r="M3" s="1" t="str">
        <f>Setup!B8&amp;" Team"</f>
        <v>Andy Team</v>
      </c>
      <c r="N3" s="1" t="s">
        <v>25</v>
      </c>
      <c r="O3" s="1" t="s">
        <v>26</v>
      </c>
      <c r="P3" s="1" t="s">
        <v>27</v>
      </c>
      <c r="Q3" s="1" t="s">
        <v>28</v>
      </c>
      <c r="R3" s="1" t="str">
        <f>Setup!B5&amp;" BasePts"</f>
        <v>Nick  BasePts</v>
      </c>
      <c r="S3" s="1" t="str">
        <f>Setup!B6&amp;" BasePts"</f>
        <v>Paul BasePts</v>
      </c>
      <c r="T3" s="1" t="str">
        <f>Setup!B7&amp;" BasePts"</f>
        <v>Sam BasePts</v>
      </c>
      <c r="U3" s="1" t="str">
        <f>Setup!B8&amp;" BasePts"</f>
        <v>Andy BasePts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37</v>
      </c>
      <c r="AE3" s="1" t="s">
        <v>38</v>
      </c>
      <c r="AF3" s="1" t="s">
        <v>39</v>
      </c>
      <c r="AG3" s="1" t="str">
        <f>Setup!B5&amp;" Net"</f>
        <v>Nick  Net</v>
      </c>
      <c r="AH3" s="1" t="str">
        <f>Setup!B6&amp;" Net"</f>
        <v>Paul Net</v>
      </c>
      <c r="AI3" s="1" t="str">
        <f>Setup!B7&amp;" Net"</f>
        <v>Sam Net</v>
      </c>
      <c r="AJ3" s="1" t="str">
        <f>Setup!B8&amp;" Net"</f>
        <v>Andy Net</v>
      </c>
    </row>
    <row r="4" spans="1:36" x14ac:dyDescent="0.2">
      <c r="A4" s="5">
        <v>1</v>
      </c>
      <c r="B4" s="7"/>
      <c r="C4" s="7"/>
      <c r="D4" s="7"/>
      <c r="E4" s="7"/>
      <c r="F4" s="8" t="str">
        <f>IF($B4="","",SUM($B$4:B4))</f>
        <v/>
      </c>
      <c r="G4" s="8" t="str">
        <f>IF($C4="","",SUM($C$4:C4))</f>
        <v/>
      </c>
      <c r="H4" s="8" t="str">
        <f>IF($D4="","",SUM($D$4:D4))</f>
        <v/>
      </c>
      <c r="I4" s="8" t="str">
        <f>IF($E4="","",SUM($E$4:E4))</f>
        <v/>
      </c>
      <c r="J4" s="9" t="str">
        <f>IF(Setup!$C$5="","",IF(OR(Setup!$C$5=1,Setup!$C$5=4),"A","B"))</f>
        <v/>
      </c>
      <c r="K4" s="9" t="str">
        <f>IF(Setup!$C$6="","",IF(OR(Setup!$C$6=1,Setup!$C$6=4),"A","B"))</f>
        <v/>
      </c>
      <c r="L4" s="9" t="str">
        <f>IF(Setup!$C$7="","",IF(OR(Setup!$C$7=1,Setup!$C$7=4),"A","B"))</f>
        <v/>
      </c>
      <c r="M4" s="9" t="str">
        <f>IF(Setup!$C$8="","",IF(OR(Setup!$C$8=1,Setup!$C$8=4),"A","B"))</f>
        <v/>
      </c>
      <c r="N4" s="6" t="str">
        <f t="shared" ref="N4:N21" si="0">IF(COUNT($B4:$E4)&lt;4,"",SUMIF($J4:$M4,"A",$B4:$E4))</f>
        <v/>
      </c>
      <c r="O4" s="6" t="str">
        <f t="shared" ref="O4:O21" si="1">IF(COUNT($B4:$E4)&lt;4,"",SUMIF($J4:$M4,"B",$B4:$E4))</f>
        <v/>
      </c>
      <c r="P4" s="6" t="str">
        <f t="shared" ref="P4:P21" si="2">IF(N4="","",IF(N4&lt;=-2,16,IF(N4=-1,8,IF(N4=0,4,IF(N4=1,2,IF(N4=2,1,0))))))</f>
        <v/>
      </c>
      <c r="Q4" s="6" t="str">
        <f t="shared" ref="Q4:Q21" si="3">IF(O4="","",IF(O4&lt;=-2,16,IF(O4=-1,8,IF(O4=0,4,IF(O4=1,2,IF(O4=2,1,0))))))</f>
        <v/>
      </c>
      <c r="R4" s="6" t="str">
        <f t="shared" ref="R4:R21" si="4">IF(B4="","",IF(B4&lt;=-2,16,IF(B4=-1,8,IF(B4=0,4,IF(B4=1,2,IF(B4=2,1,0))))))</f>
        <v/>
      </c>
      <c r="S4" s="6" t="str">
        <f t="shared" ref="S4:S21" si="5">IF(C4="","",IF(C4&lt;=-2,16,IF(C4=-1,8,IF(C4=0,4,IF(C4=1,2,IF(C4=2,1,0))))))</f>
        <v/>
      </c>
      <c r="T4" s="6" t="str">
        <f t="shared" ref="T4:T21" si="6">IF(D4="","",IF(D4&lt;=-2,16,IF(D4=-1,8,IF(D4=0,4,IF(D4=1,2,IF(D4=2,1,0))))))</f>
        <v/>
      </c>
      <c r="U4" s="6" t="str">
        <f t="shared" ref="U4:U21" si="7">IF(E4="","",IF(E4&lt;=-2,16,IF(E4=-1,8,IF(E4=0,4,IF(E4=1,2,IF(E4=2,1,0))))))</f>
        <v/>
      </c>
      <c r="V4" s="6" t="str">
        <f t="shared" ref="V4:V21" si="8">IF(COUNT($B4:$E4)&lt;4,"",SUMIF($J4:$M4,"A",$R4:$U4))</f>
        <v/>
      </c>
      <c r="W4" s="6" t="str">
        <f t="shared" ref="W4:W21" si="9">IF(COUNT($B4:$E4)&lt;4,"",SUMIF($J4:$M4,"B",$R4:$U4))</f>
        <v/>
      </c>
      <c r="X4" s="6" t="str">
        <f t="shared" ref="X4:X21" si="10">IF($V4="","",$V4-$W4)</f>
        <v/>
      </c>
      <c r="Y4" s="10" t="str">
        <f>IF(B4="","",B4+Setup!$C$5/1000+0.00001)</f>
        <v/>
      </c>
      <c r="Z4" s="10" t="str">
        <f>IF(C4="","",C4+Setup!$C$6/1000+0.00002)</f>
        <v/>
      </c>
      <c r="AA4" s="10" t="str">
        <f>IF(D4="","",D4+Setup!$C$7/1000+0.00003)</f>
        <v/>
      </c>
      <c r="AB4" s="10" t="str">
        <f>IF(E4="","",E4+Setup!$C$8/1000+0.00004)</f>
        <v/>
      </c>
      <c r="AC4" s="10" t="str">
        <f t="shared" ref="AC4:AC21" si="11">IF(Y4="","",1+COUNTIF($Y4:$AB4,"&lt;"&amp;Y4))</f>
        <v/>
      </c>
      <c r="AD4" s="10" t="str">
        <f t="shared" ref="AD4:AD21" si="12">IF(Z4="","",1+COUNTIF($Y4:$AB4,"&lt;"&amp;Z4))</f>
        <v/>
      </c>
      <c r="AE4" s="10" t="str">
        <f t="shared" ref="AE4:AE21" si="13">IF(AA4="","",1+COUNTIF($Y4:$AB4,"&lt;"&amp;AA4))</f>
        <v/>
      </c>
      <c r="AF4" s="10" t="str">
        <f t="shared" ref="AF4:AF21" si="14">IF(AB4="","",1+COUNTIF($Y4:$AB4,"&lt;"&amp;AB4))</f>
        <v/>
      </c>
      <c r="AG4" t="str">
        <f t="shared" ref="AG4:AG21" si="15">IF(B4="","",IF(J4="A",X4,-X4))</f>
        <v/>
      </c>
      <c r="AH4" t="str">
        <f t="shared" ref="AH4:AH21" si="16">IF(C4="","",IF(K4="A",X4,-X4))</f>
        <v/>
      </c>
      <c r="AI4" t="str">
        <f t="shared" ref="AI4:AI21" si="17">IF(D4="","",IF(L4="A",X4,-X4))</f>
        <v/>
      </c>
      <c r="AJ4" t="str">
        <f t="shared" ref="AJ4:AJ21" si="18">IF(E4="","",IF(M4="A",X4,-X4))</f>
        <v/>
      </c>
    </row>
    <row r="5" spans="1:36" x14ac:dyDescent="0.2">
      <c r="A5" s="5">
        <v>2</v>
      </c>
      <c r="B5" s="7"/>
      <c r="C5" s="7"/>
      <c r="D5" s="7"/>
      <c r="E5" s="7"/>
      <c r="F5" s="8" t="str">
        <f>IF($B5="","",SUM($B$4:B5))</f>
        <v/>
      </c>
      <c r="G5" s="8" t="str">
        <f>IF($C5="","",SUM($C$4:C5))</f>
        <v/>
      </c>
      <c r="H5" s="8" t="str">
        <f>IF($D5="","",SUM($D$4:D5))</f>
        <v/>
      </c>
      <c r="I5" s="8" t="str">
        <f>IF($E5="","",SUM($E$4:E5))</f>
        <v/>
      </c>
      <c r="J5" s="9" t="str">
        <f t="shared" ref="J5:J21" si="19">IF(AC4="","",IF(OR(AC4=1,AC4=4),"A","B"))</f>
        <v/>
      </c>
      <c r="K5" s="9" t="str">
        <f t="shared" ref="K5:K21" si="20">IF(AD4="","",IF(OR(AD4=1,AD4=4),"A","B"))</f>
        <v/>
      </c>
      <c r="L5" s="9" t="str">
        <f t="shared" ref="L5:L21" si="21">IF(AE4="","",IF(OR(AE4=1,AE4=4),"A","B"))</f>
        <v/>
      </c>
      <c r="M5" s="9" t="str">
        <f t="shared" ref="M5:M21" si="22">IF(AF4="","",IF(OR(AF4=1,AF4=4),"A","B"))</f>
        <v/>
      </c>
      <c r="N5" s="6" t="str">
        <f t="shared" si="0"/>
        <v/>
      </c>
      <c r="O5" s="6" t="str">
        <f t="shared" si="1"/>
        <v/>
      </c>
      <c r="P5" s="6" t="str">
        <f t="shared" si="2"/>
        <v/>
      </c>
      <c r="Q5" s="6" t="str">
        <f t="shared" si="3"/>
        <v/>
      </c>
      <c r="R5" s="6" t="str">
        <f t="shared" si="4"/>
        <v/>
      </c>
      <c r="S5" s="6" t="str">
        <f t="shared" si="5"/>
        <v/>
      </c>
      <c r="T5" s="6" t="str">
        <f t="shared" si="6"/>
        <v/>
      </c>
      <c r="U5" s="6" t="str">
        <f t="shared" si="7"/>
        <v/>
      </c>
      <c r="V5" s="6" t="str">
        <f t="shared" si="8"/>
        <v/>
      </c>
      <c r="W5" s="6" t="str">
        <f t="shared" si="9"/>
        <v/>
      </c>
      <c r="X5" s="6" t="str">
        <f t="shared" si="10"/>
        <v/>
      </c>
      <c r="Y5" s="10" t="str">
        <f t="shared" ref="Y5:Y21" si="23">IF(B5="","",B5+AC4/1000+0.00001)</f>
        <v/>
      </c>
      <c r="Z5" s="10" t="str">
        <f t="shared" ref="Z5:Z21" si="24">IF(C5="","",C5+AD4/1000+0.00002)</f>
        <v/>
      </c>
      <c r="AA5" s="10" t="str">
        <f t="shared" ref="AA5:AA21" si="25">IF(D5="","",D5+AE4/1000+0.00003)</f>
        <v/>
      </c>
      <c r="AB5" s="10" t="str">
        <f t="shared" ref="AB5:AB21" si="26">IF(E5="","",E5+AF4/1000+0.00004)</f>
        <v/>
      </c>
      <c r="AC5" s="10" t="str">
        <f t="shared" si="11"/>
        <v/>
      </c>
      <c r="AD5" s="10" t="str">
        <f t="shared" si="12"/>
        <v/>
      </c>
      <c r="AE5" s="10" t="str">
        <f t="shared" si="13"/>
        <v/>
      </c>
      <c r="AF5" s="10" t="str">
        <f t="shared" si="14"/>
        <v/>
      </c>
      <c r="AG5" t="str">
        <f t="shared" si="15"/>
        <v/>
      </c>
      <c r="AH5" t="str">
        <f t="shared" si="16"/>
        <v/>
      </c>
      <c r="AI5" t="str">
        <f t="shared" si="17"/>
        <v/>
      </c>
      <c r="AJ5" t="str">
        <f t="shared" si="18"/>
        <v/>
      </c>
    </row>
    <row r="6" spans="1:36" x14ac:dyDescent="0.2">
      <c r="A6" s="5">
        <v>3</v>
      </c>
      <c r="B6" s="7"/>
      <c r="C6" s="7"/>
      <c r="D6" s="7"/>
      <c r="E6" s="7"/>
      <c r="F6" s="8" t="str">
        <f>IF($B6="","",SUM($B$4:B6))</f>
        <v/>
      </c>
      <c r="G6" s="8" t="str">
        <f>IF($C6="","",SUM($C$4:C6))</f>
        <v/>
      </c>
      <c r="H6" s="8" t="str">
        <f>IF($D6="","",SUM($D$4:D6))</f>
        <v/>
      </c>
      <c r="I6" s="8" t="str">
        <f>IF($E6="","",SUM($E$4:E6))</f>
        <v/>
      </c>
      <c r="J6" s="9" t="str">
        <f t="shared" si="19"/>
        <v/>
      </c>
      <c r="K6" s="9" t="str">
        <f t="shared" si="20"/>
        <v/>
      </c>
      <c r="L6" s="9" t="str">
        <f t="shared" si="21"/>
        <v/>
      </c>
      <c r="M6" s="9" t="str">
        <f t="shared" si="22"/>
        <v/>
      </c>
      <c r="N6" s="6" t="str">
        <f t="shared" si="0"/>
        <v/>
      </c>
      <c r="O6" s="6" t="str">
        <f t="shared" si="1"/>
        <v/>
      </c>
      <c r="P6" s="6" t="str">
        <f t="shared" si="2"/>
        <v/>
      </c>
      <c r="Q6" s="6" t="str">
        <f t="shared" si="3"/>
        <v/>
      </c>
      <c r="R6" s="6" t="str">
        <f t="shared" si="4"/>
        <v/>
      </c>
      <c r="S6" s="6" t="str">
        <f t="shared" si="5"/>
        <v/>
      </c>
      <c r="T6" s="6" t="str">
        <f t="shared" si="6"/>
        <v/>
      </c>
      <c r="U6" s="6" t="str">
        <f t="shared" si="7"/>
        <v/>
      </c>
      <c r="V6" s="6" t="str">
        <f t="shared" si="8"/>
        <v/>
      </c>
      <c r="W6" s="6" t="str">
        <f t="shared" si="9"/>
        <v/>
      </c>
      <c r="X6" s="6" t="str">
        <f t="shared" si="10"/>
        <v/>
      </c>
      <c r="Y6" s="10" t="str">
        <f t="shared" si="23"/>
        <v/>
      </c>
      <c r="Z6" s="10" t="str">
        <f t="shared" si="24"/>
        <v/>
      </c>
      <c r="AA6" s="10" t="str">
        <f t="shared" si="25"/>
        <v/>
      </c>
      <c r="AB6" s="10" t="str">
        <f t="shared" si="26"/>
        <v/>
      </c>
      <c r="AC6" s="10" t="str">
        <f t="shared" si="11"/>
        <v/>
      </c>
      <c r="AD6" s="10" t="str">
        <f t="shared" si="12"/>
        <v/>
      </c>
      <c r="AE6" s="10" t="str">
        <f t="shared" si="13"/>
        <v/>
      </c>
      <c r="AF6" s="10" t="str">
        <f t="shared" si="14"/>
        <v/>
      </c>
      <c r="AG6" t="str">
        <f t="shared" si="15"/>
        <v/>
      </c>
      <c r="AH6" t="str">
        <f t="shared" si="16"/>
        <v/>
      </c>
      <c r="AI6" t="str">
        <f t="shared" si="17"/>
        <v/>
      </c>
      <c r="AJ6" t="str">
        <f t="shared" si="18"/>
        <v/>
      </c>
    </row>
    <row r="7" spans="1:36" x14ac:dyDescent="0.2">
      <c r="A7" s="5">
        <v>4</v>
      </c>
      <c r="B7" s="7"/>
      <c r="C7" s="7"/>
      <c r="D7" s="7"/>
      <c r="E7" s="7"/>
      <c r="F7" s="8" t="str">
        <f>IF($B7="","",SUM($B$4:B7))</f>
        <v/>
      </c>
      <c r="G7" s="8" t="str">
        <f>IF($C7="","",SUM($C$4:C7))</f>
        <v/>
      </c>
      <c r="H7" s="8" t="str">
        <f>IF($D7="","",SUM($D$4:D7))</f>
        <v/>
      </c>
      <c r="I7" s="8" t="str">
        <f>IF($E7="","",SUM($E$4:E7))</f>
        <v/>
      </c>
      <c r="J7" s="9" t="str">
        <f t="shared" si="19"/>
        <v/>
      </c>
      <c r="K7" s="9" t="str">
        <f t="shared" si="20"/>
        <v/>
      </c>
      <c r="L7" s="9" t="str">
        <f t="shared" si="21"/>
        <v/>
      </c>
      <c r="M7" s="9" t="str">
        <f t="shared" si="22"/>
        <v/>
      </c>
      <c r="N7" s="6" t="str">
        <f t="shared" si="0"/>
        <v/>
      </c>
      <c r="O7" s="6" t="str">
        <f t="shared" si="1"/>
        <v/>
      </c>
      <c r="P7" s="6" t="str">
        <f t="shared" si="2"/>
        <v/>
      </c>
      <c r="Q7" s="6" t="str">
        <f t="shared" si="3"/>
        <v/>
      </c>
      <c r="R7" s="6" t="str">
        <f t="shared" si="4"/>
        <v/>
      </c>
      <c r="S7" s="6" t="str">
        <f t="shared" si="5"/>
        <v/>
      </c>
      <c r="T7" s="6" t="str">
        <f t="shared" si="6"/>
        <v/>
      </c>
      <c r="U7" s="6" t="str">
        <f t="shared" si="7"/>
        <v/>
      </c>
      <c r="V7" s="6" t="str">
        <f t="shared" si="8"/>
        <v/>
      </c>
      <c r="W7" s="6" t="str">
        <f t="shared" si="9"/>
        <v/>
      </c>
      <c r="X7" s="6" t="str">
        <f t="shared" si="10"/>
        <v/>
      </c>
      <c r="Y7" s="10" t="str">
        <f t="shared" si="23"/>
        <v/>
      </c>
      <c r="Z7" s="10" t="str">
        <f t="shared" si="24"/>
        <v/>
      </c>
      <c r="AA7" s="10" t="str">
        <f t="shared" si="25"/>
        <v/>
      </c>
      <c r="AB7" s="10" t="str">
        <f t="shared" si="26"/>
        <v/>
      </c>
      <c r="AC7" s="10" t="str">
        <f t="shared" si="11"/>
        <v/>
      </c>
      <c r="AD7" s="10" t="str">
        <f t="shared" si="12"/>
        <v/>
      </c>
      <c r="AE7" s="10" t="str">
        <f t="shared" si="13"/>
        <v/>
      </c>
      <c r="AF7" s="10" t="str">
        <f t="shared" si="14"/>
        <v/>
      </c>
      <c r="AG7" t="str">
        <f t="shared" si="15"/>
        <v/>
      </c>
      <c r="AH7" t="str">
        <f t="shared" si="16"/>
        <v/>
      </c>
      <c r="AI7" t="str">
        <f t="shared" si="17"/>
        <v/>
      </c>
      <c r="AJ7" t="str">
        <f t="shared" si="18"/>
        <v/>
      </c>
    </row>
    <row r="8" spans="1:36" x14ac:dyDescent="0.2">
      <c r="A8" s="5">
        <v>5</v>
      </c>
      <c r="B8" s="7"/>
      <c r="C8" s="7"/>
      <c r="D8" s="7"/>
      <c r="E8" s="7"/>
      <c r="F8" s="8" t="str">
        <f>IF($B8="","",SUM($B$4:B8))</f>
        <v/>
      </c>
      <c r="G8" s="8" t="str">
        <f>IF($C8="","",SUM($C$4:C8))</f>
        <v/>
      </c>
      <c r="H8" s="8" t="str">
        <f>IF($D8="","",SUM($D$4:D8))</f>
        <v/>
      </c>
      <c r="I8" s="8" t="str">
        <f>IF($E8="","",SUM($E$4:E8))</f>
        <v/>
      </c>
      <c r="J8" s="9" t="str">
        <f t="shared" si="19"/>
        <v/>
      </c>
      <c r="K8" s="9" t="str">
        <f t="shared" si="20"/>
        <v/>
      </c>
      <c r="L8" s="9" t="str">
        <f t="shared" si="21"/>
        <v/>
      </c>
      <c r="M8" s="9" t="str">
        <f t="shared" si="22"/>
        <v/>
      </c>
      <c r="N8" s="6" t="str">
        <f t="shared" si="0"/>
        <v/>
      </c>
      <c r="O8" s="6" t="str">
        <f t="shared" si="1"/>
        <v/>
      </c>
      <c r="P8" s="6" t="str">
        <f t="shared" si="2"/>
        <v/>
      </c>
      <c r="Q8" s="6" t="str">
        <f t="shared" si="3"/>
        <v/>
      </c>
      <c r="R8" s="6" t="str">
        <f t="shared" si="4"/>
        <v/>
      </c>
      <c r="S8" s="6" t="str">
        <f t="shared" si="5"/>
        <v/>
      </c>
      <c r="T8" s="6" t="str">
        <f t="shared" si="6"/>
        <v/>
      </c>
      <c r="U8" s="6" t="str">
        <f t="shared" si="7"/>
        <v/>
      </c>
      <c r="V8" s="6" t="str">
        <f t="shared" si="8"/>
        <v/>
      </c>
      <c r="W8" s="6" t="str">
        <f t="shared" si="9"/>
        <v/>
      </c>
      <c r="X8" s="6" t="str">
        <f t="shared" si="10"/>
        <v/>
      </c>
      <c r="Y8" s="10" t="str">
        <f t="shared" si="23"/>
        <v/>
      </c>
      <c r="Z8" s="10" t="str">
        <f t="shared" si="24"/>
        <v/>
      </c>
      <c r="AA8" s="10" t="str">
        <f t="shared" si="25"/>
        <v/>
      </c>
      <c r="AB8" s="10" t="str">
        <f t="shared" si="26"/>
        <v/>
      </c>
      <c r="AC8" s="10" t="str">
        <f t="shared" si="11"/>
        <v/>
      </c>
      <c r="AD8" s="10" t="str">
        <f t="shared" si="12"/>
        <v/>
      </c>
      <c r="AE8" s="10" t="str">
        <f t="shared" si="13"/>
        <v/>
      </c>
      <c r="AF8" s="10" t="str">
        <f t="shared" si="14"/>
        <v/>
      </c>
      <c r="AG8" t="str">
        <f t="shared" si="15"/>
        <v/>
      </c>
      <c r="AH8" t="str">
        <f t="shared" si="16"/>
        <v/>
      </c>
      <c r="AI8" t="str">
        <f t="shared" si="17"/>
        <v/>
      </c>
      <c r="AJ8" t="str">
        <f t="shared" si="18"/>
        <v/>
      </c>
    </row>
    <row r="9" spans="1:36" x14ac:dyDescent="0.2">
      <c r="A9" s="5">
        <v>6</v>
      </c>
      <c r="B9" s="7"/>
      <c r="C9" s="7"/>
      <c r="D9" s="7"/>
      <c r="E9" s="7"/>
      <c r="F9" s="8" t="str">
        <f>IF($B9="","",SUM($B$4:B9))</f>
        <v/>
      </c>
      <c r="G9" s="8" t="str">
        <f>IF($C9="","",SUM($C$4:C9))</f>
        <v/>
      </c>
      <c r="H9" s="8" t="str">
        <f>IF($D9="","",SUM($D$4:D9))</f>
        <v/>
      </c>
      <c r="I9" s="8" t="str">
        <f>IF($E9="","",SUM($E$4:E9))</f>
        <v/>
      </c>
      <c r="J9" s="9" t="str">
        <f t="shared" si="19"/>
        <v/>
      </c>
      <c r="K9" s="9" t="str">
        <f t="shared" si="20"/>
        <v/>
      </c>
      <c r="L9" s="9" t="str">
        <f t="shared" si="21"/>
        <v/>
      </c>
      <c r="M9" s="9" t="str">
        <f t="shared" si="22"/>
        <v/>
      </c>
      <c r="N9" s="6" t="str">
        <f t="shared" si="0"/>
        <v/>
      </c>
      <c r="O9" s="6" t="str">
        <f t="shared" si="1"/>
        <v/>
      </c>
      <c r="P9" s="6" t="str">
        <f t="shared" si="2"/>
        <v/>
      </c>
      <c r="Q9" s="6" t="str">
        <f t="shared" si="3"/>
        <v/>
      </c>
      <c r="R9" s="6" t="str">
        <f t="shared" si="4"/>
        <v/>
      </c>
      <c r="S9" s="6" t="str">
        <f t="shared" si="5"/>
        <v/>
      </c>
      <c r="T9" s="6" t="str">
        <f t="shared" si="6"/>
        <v/>
      </c>
      <c r="U9" s="6" t="str">
        <f t="shared" si="7"/>
        <v/>
      </c>
      <c r="V9" s="6" t="str">
        <f t="shared" si="8"/>
        <v/>
      </c>
      <c r="W9" s="6" t="str">
        <f t="shared" si="9"/>
        <v/>
      </c>
      <c r="X9" s="6" t="str">
        <f t="shared" si="10"/>
        <v/>
      </c>
      <c r="Y9" s="10" t="str">
        <f t="shared" si="23"/>
        <v/>
      </c>
      <c r="Z9" s="10" t="str">
        <f t="shared" si="24"/>
        <v/>
      </c>
      <c r="AA9" s="10" t="str">
        <f t="shared" si="25"/>
        <v/>
      </c>
      <c r="AB9" s="10" t="str">
        <f t="shared" si="26"/>
        <v/>
      </c>
      <c r="AC9" s="10" t="str">
        <f t="shared" si="11"/>
        <v/>
      </c>
      <c r="AD9" s="10" t="str">
        <f t="shared" si="12"/>
        <v/>
      </c>
      <c r="AE9" s="10" t="str">
        <f t="shared" si="13"/>
        <v/>
      </c>
      <c r="AF9" s="10" t="str">
        <f t="shared" si="14"/>
        <v/>
      </c>
      <c r="AG9" t="str">
        <f t="shared" si="15"/>
        <v/>
      </c>
      <c r="AH9" t="str">
        <f t="shared" si="16"/>
        <v/>
      </c>
      <c r="AI9" t="str">
        <f t="shared" si="17"/>
        <v/>
      </c>
      <c r="AJ9" t="str">
        <f t="shared" si="18"/>
        <v/>
      </c>
    </row>
    <row r="10" spans="1:36" x14ac:dyDescent="0.2">
      <c r="A10" s="5">
        <v>7</v>
      </c>
      <c r="B10" s="7"/>
      <c r="C10" s="7"/>
      <c r="D10" s="7"/>
      <c r="E10" s="7"/>
      <c r="F10" s="8" t="str">
        <f>IF($B10="","",SUM($B$4:B10))</f>
        <v/>
      </c>
      <c r="G10" s="8" t="str">
        <f>IF($C10="","",SUM($C$4:C10))</f>
        <v/>
      </c>
      <c r="H10" s="8" t="str">
        <f>IF($D10="","",SUM($D$4:D10))</f>
        <v/>
      </c>
      <c r="I10" s="8" t="str">
        <f>IF($E10="","",SUM($E$4:E10))</f>
        <v/>
      </c>
      <c r="J10" s="9" t="str">
        <f t="shared" si="19"/>
        <v/>
      </c>
      <c r="K10" s="9" t="str">
        <f t="shared" si="20"/>
        <v/>
      </c>
      <c r="L10" s="9" t="str">
        <f t="shared" si="21"/>
        <v/>
      </c>
      <c r="M10" s="9" t="str">
        <f t="shared" si="22"/>
        <v/>
      </c>
      <c r="N10" s="6" t="str">
        <f t="shared" si="0"/>
        <v/>
      </c>
      <c r="O10" s="6" t="str">
        <f t="shared" si="1"/>
        <v/>
      </c>
      <c r="P10" s="6" t="str">
        <f t="shared" si="2"/>
        <v/>
      </c>
      <c r="Q10" s="6" t="str">
        <f t="shared" si="3"/>
        <v/>
      </c>
      <c r="R10" s="6" t="str">
        <f t="shared" si="4"/>
        <v/>
      </c>
      <c r="S10" s="6" t="str">
        <f t="shared" si="5"/>
        <v/>
      </c>
      <c r="T10" s="6" t="str">
        <f t="shared" si="6"/>
        <v/>
      </c>
      <c r="U10" s="6" t="str">
        <f t="shared" si="7"/>
        <v/>
      </c>
      <c r="V10" s="6" t="str">
        <f t="shared" si="8"/>
        <v/>
      </c>
      <c r="W10" s="6" t="str">
        <f t="shared" si="9"/>
        <v/>
      </c>
      <c r="X10" s="6" t="str">
        <f t="shared" si="10"/>
        <v/>
      </c>
      <c r="Y10" s="10" t="str">
        <f t="shared" si="23"/>
        <v/>
      </c>
      <c r="Z10" s="10" t="str">
        <f t="shared" si="24"/>
        <v/>
      </c>
      <c r="AA10" s="10" t="str">
        <f t="shared" si="25"/>
        <v/>
      </c>
      <c r="AB10" s="10" t="str">
        <f t="shared" si="26"/>
        <v/>
      </c>
      <c r="AC10" s="10" t="str">
        <f t="shared" si="11"/>
        <v/>
      </c>
      <c r="AD10" s="10" t="str">
        <f t="shared" si="12"/>
        <v/>
      </c>
      <c r="AE10" s="10" t="str">
        <f t="shared" si="13"/>
        <v/>
      </c>
      <c r="AF10" s="10" t="str">
        <f t="shared" si="14"/>
        <v/>
      </c>
      <c r="AG10" t="str">
        <f t="shared" si="15"/>
        <v/>
      </c>
      <c r="AH10" t="str">
        <f t="shared" si="16"/>
        <v/>
      </c>
      <c r="AI10" t="str">
        <f t="shared" si="17"/>
        <v/>
      </c>
      <c r="AJ10" t="str">
        <f t="shared" si="18"/>
        <v/>
      </c>
    </row>
    <row r="11" spans="1:36" x14ac:dyDescent="0.2">
      <c r="A11" s="5">
        <v>8</v>
      </c>
      <c r="B11" s="7"/>
      <c r="C11" s="7"/>
      <c r="D11" s="7"/>
      <c r="E11" s="7"/>
      <c r="F11" s="8" t="str">
        <f>IF($B11="","",SUM($B$4:B11))</f>
        <v/>
      </c>
      <c r="G11" s="8" t="str">
        <f>IF($C11="","",SUM($C$4:C11))</f>
        <v/>
      </c>
      <c r="H11" s="8" t="str">
        <f>IF($D11="","",SUM($D$4:D11))</f>
        <v/>
      </c>
      <c r="I11" s="8" t="str">
        <f>IF($E11="","",SUM($E$4:E11))</f>
        <v/>
      </c>
      <c r="J11" s="9" t="str">
        <f t="shared" si="19"/>
        <v/>
      </c>
      <c r="K11" s="9" t="str">
        <f t="shared" si="20"/>
        <v/>
      </c>
      <c r="L11" s="9" t="str">
        <f t="shared" si="21"/>
        <v/>
      </c>
      <c r="M11" s="9" t="str">
        <f t="shared" si="22"/>
        <v/>
      </c>
      <c r="N11" s="6" t="str">
        <f t="shared" si="0"/>
        <v/>
      </c>
      <c r="O11" s="6" t="str">
        <f t="shared" si="1"/>
        <v/>
      </c>
      <c r="P11" s="6" t="str">
        <f t="shared" si="2"/>
        <v/>
      </c>
      <c r="Q11" s="6" t="str">
        <f t="shared" si="3"/>
        <v/>
      </c>
      <c r="R11" s="6" t="str">
        <f t="shared" si="4"/>
        <v/>
      </c>
      <c r="S11" s="6" t="str">
        <f t="shared" si="5"/>
        <v/>
      </c>
      <c r="T11" s="6" t="str">
        <f t="shared" si="6"/>
        <v/>
      </c>
      <c r="U11" s="6" t="str">
        <f t="shared" si="7"/>
        <v/>
      </c>
      <c r="V11" s="6" t="str">
        <f t="shared" si="8"/>
        <v/>
      </c>
      <c r="W11" s="6" t="str">
        <f t="shared" si="9"/>
        <v/>
      </c>
      <c r="X11" s="6" t="str">
        <f t="shared" si="10"/>
        <v/>
      </c>
      <c r="Y11" s="10" t="str">
        <f t="shared" si="23"/>
        <v/>
      </c>
      <c r="Z11" s="10" t="str">
        <f t="shared" si="24"/>
        <v/>
      </c>
      <c r="AA11" s="10" t="str">
        <f t="shared" si="25"/>
        <v/>
      </c>
      <c r="AB11" s="10" t="str">
        <f t="shared" si="26"/>
        <v/>
      </c>
      <c r="AC11" s="10" t="str">
        <f t="shared" si="11"/>
        <v/>
      </c>
      <c r="AD11" s="10" t="str">
        <f t="shared" si="12"/>
        <v/>
      </c>
      <c r="AE11" s="10" t="str">
        <f t="shared" si="13"/>
        <v/>
      </c>
      <c r="AF11" s="10" t="str">
        <f t="shared" si="14"/>
        <v/>
      </c>
      <c r="AG11" t="str">
        <f t="shared" si="15"/>
        <v/>
      </c>
      <c r="AH11" t="str">
        <f t="shared" si="16"/>
        <v/>
      </c>
      <c r="AI11" t="str">
        <f t="shared" si="17"/>
        <v/>
      </c>
      <c r="AJ11" t="str">
        <f t="shared" si="18"/>
        <v/>
      </c>
    </row>
    <row r="12" spans="1:36" x14ac:dyDescent="0.2">
      <c r="A12" s="5">
        <v>9</v>
      </c>
      <c r="B12" s="7"/>
      <c r="C12" s="7"/>
      <c r="D12" s="7"/>
      <c r="E12" s="7"/>
      <c r="F12" s="8" t="str">
        <f>IF($B12="","",SUM($B$4:B12))</f>
        <v/>
      </c>
      <c r="G12" s="8" t="str">
        <f>IF($C12="","",SUM($C$4:C12))</f>
        <v/>
      </c>
      <c r="H12" s="8" t="str">
        <f>IF($D12="","",SUM($D$4:D12))</f>
        <v/>
      </c>
      <c r="I12" s="8" t="str">
        <f>IF($E12="","",SUM($E$4:E12))</f>
        <v/>
      </c>
      <c r="J12" s="9" t="str">
        <f t="shared" si="19"/>
        <v/>
      </c>
      <c r="K12" s="9" t="str">
        <f t="shared" si="20"/>
        <v/>
      </c>
      <c r="L12" s="9" t="str">
        <f t="shared" si="21"/>
        <v/>
      </c>
      <c r="M12" s="9" t="str">
        <f t="shared" si="22"/>
        <v/>
      </c>
      <c r="N12" s="6" t="str">
        <f t="shared" si="0"/>
        <v/>
      </c>
      <c r="O12" s="6" t="str">
        <f t="shared" si="1"/>
        <v/>
      </c>
      <c r="P12" s="6" t="str">
        <f t="shared" si="2"/>
        <v/>
      </c>
      <c r="Q12" s="6" t="str">
        <f t="shared" si="3"/>
        <v/>
      </c>
      <c r="R12" s="6" t="str">
        <f t="shared" si="4"/>
        <v/>
      </c>
      <c r="S12" s="6" t="str">
        <f t="shared" si="5"/>
        <v/>
      </c>
      <c r="T12" s="6" t="str">
        <f t="shared" si="6"/>
        <v/>
      </c>
      <c r="U12" s="6" t="str">
        <f t="shared" si="7"/>
        <v/>
      </c>
      <c r="V12" s="6" t="str">
        <f t="shared" si="8"/>
        <v/>
      </c>
      <c r="W12" s="6" t="str">
        <f t="shared" si="9"/>
        <v/>
      </c>
      <c r="X12" s="6" t="str">
        <f t="shared" si="10"/>
        <v/>
      </c>
      <c r="Y12" s="10" t="str">
        <f t="shared" si="23"/>
        <v/>
      </c>
      <c r="Z12" s="10" t="str">
        <f t="shared" si="24"/>
        <v/>
      </c>
      <c r="AA12" s="10" t="str">
        <f t="shared" si="25"/>
        <v/>
      </c>
      <c r="AB12" s="10" t="str">
        <f t="shared" si="26"/>
        <v/>
      </c>
      <c r="AC12" s="10" t="str">
        <f t="shared" si="11"/>
        <v/>
      </c>
      <c r="AD12" s="10" t="str">
        <f t="shared" si="12"/>
        <v/>
      </c>
      <c r="AE12" s="10" t="str">
        <f t="shared" si="13"/>
        <v/>
      </c>
      <c r="AF12" s="10" t="str">
        <f t="shared" si="14"/>
        <v/>
      </c>
      <c r="AG12" t="str">
        <f t="shared" si="15"/>
        <v/>
      </c>
      <c r="AH12" t="str">
        <f t="shared" si="16"/>
        <v/>
      </c>
      <c r="AI12" t="str">
        <f t="shared" si="17"/>
        <v/>
      </c>
      <c r="AJ12" t="str">
        <f t="shared" si="18"/>
        <v/>
      </c>
    </row>
    <row r="13" spans="1:36" x14ac:dyDescent="0.2">
      <c r="A13" s="5">
        <v>10</v>
      </c>
      <c r="B13" s="7"/>
      <c r="C13" s="7"/>
      <c r="D13" s="7"/>
      <c r="E13" s="7"/>
      <c r="F13" s="8" t="str">
        <f>IF($B13="","",SUM($B$4:B13))</f>
        <v/>
      </c>
      <c r="G13" s="8" t="str">
        <f>IF($C13="","",SUM($C$4:C13))</f>
        <v/>
      </c>
      <c r="H13" s="8" t="str">
        <f>IF($D13="","",SUM($D$4:D13))</f>
        <v/>
      </c>
      <c r="I13" s="8" t="str">
        <f>IF($E13="","",SUM($E$4:E13))</f>
        <v/>
      </c>
      <c r="J13" s="9" t="str">
        <f t="shared" si="19"/>
        <v/>
      </c>
      <c r="K13" s="9" t="str">
        <f t="shared" si="20"/>
        <v/>
      </c>
      <c r="L13" s="9" t="str">
        <f t="shared" si="21"/>
        <v/>
      </c>
      <c r="M13" s="9" t="str">
        <f t="shared" si="22"/>
        <v/>
      </c>
      <c r="N13" s="6" t="str">
        <f t="shared" si="0"/>
        <v/>
      </c>
      <c r="O13" s="6" t="str">
        <f t="shared" si="1"/>
        <v/>
      </c>
      <c r="P13" s="6" t="str">
        <f t="shared" si="2"/>
        <v/>
      </c>
      <c r="Q13" s="6" t="str">
        <f t="shared" si="3"/>
        <v/>
      </c>
      <c r="R13" s="6" t="str">
        <f t="shared" si="4"/>
        <v/>
      </c>
      <c r="S13" s="6" t="str">
        <f t="shared" si="5"/>
        <v/>
      </c>
      <c r="T13" s="6" t="str">
        <f t="shared" si="6"/>
        <v/>
      </c>
      <c r="U13" s="6" t="str">
        <f t="shared" si="7"/>
        <v/>
      </c>
      <c r="V13" s="6" t="str">
        <f t="shared" si="8"/>
        <v/>
      </c>
      <c r="W13" s="6" t="str">
        <f t="shared" si="9"/>
        <v/>
      </c>
      <c r="X13" s="6" t="str">
        <f t="shared" si="10"/>
        <v/>
      </c>
      <c r="Y13" s="10" t="str">
        <f t="shared" si="23"/>
        <v/>
      </c>
      <c r="Z13" s="10" t="str">
        <f t="shared" si="24"/>
        <v/>
      </c>
      <c r="AA13" s="10" t="str">
        <f t="shared" si="25"/>
        <v/>
      </c>
      <c r="AB13" s="10" t="str">
        <f t="shared" si="26"/>
        <v/>
      </c>
      <c r="AC13" s="10" t="str">
        <f t="shared" si="11"/>
        <v/>
      </c>
      <c r="AD13" s="10" t="str">
        <f t="shared" si="12"/>
        <v/>
      </c>
      <c r="AE13" s="10" t="str">
        <f t="shared" si="13"/>
        <v/>
      </c>
      <c r="AF13" s="10" t="str">
        <f t="shared" si="14"/>
        <v/>
      </c>
      <c r="AG13" t="str">
        <f t="shared" si="15"/>
        <v/>
      </c>
      <c r="AH13" t="str">
        <f t="shared" si="16"/>
        <v/>
      </c>
      <c r="AI13" t="str">
        <f t="shared" si="17"/>
        <v/>
      </c>
      <c r="AJ13" t="str">
        <f t="shared" si="18"/>
        <v/>
      </c>
    </row>
    <row r="14" spans="1:36" x14ac:dyDescent="0.2">
      <c r="A14" s="5">
        <v>11</v>
      </c>
      <c r="B14" s="7"/>
      <c r="C14" s="7"/>
      <c r="D14" s="7"/>
      <c r="E14" s="7"/>
      <c r="F14" s="8" t="str">
        <f>IF($B14="","",SUM($B$4:B14))</f>
        <v/>
      </c>
      <c r="G14" s="8" t="str">
        <f>IF($C14="","",SUM($C$4:C14))</f>
        <v/>
      </c>
      <c r="H14" s="8" t="str">
        <f>IF($D14="","",SUM($D$4:D14))</f>
        <v/>
      </c>
      <c r="I14" s="8" t="str">
        <f>IF($E14="","",SUM($E$4:E14))</f>
        <v/>
      </c>
      <c r="J14" s="9" t="str">
        <f t="shared" si="19"/>
        <v/>
      </c>
      <c r="K14" s="9" t="str">
        <f t="shared" si="20"/>
        <v/>
      </c>
      <c r="L14" s="9" t="str">
        <f t="shared" si="21"/>
        <v/>
      </c>
      <c r="M14" s="9" t="str">
        <f t="shared" si="22"/>
        <v/>
      </c>
      <c r="N14" s="6" t="str">
        <f t="shared" si="0"/>
        <v/>
      </c>
      <c r="O14" s="6" t="str">
        <f t="shared" si="1"/>
        <v/>
      </c>
      <c r="P14" s="6" t="str">
        <f t="shared" si="2"/>
        <v/>
      </c>
      <c r="Q14" s="6" t="str">
        <f t="shared" si="3"/>
        <v/>
      </c>
      <c r="R14" s="6" t="str">
        <f t="shared" si="4"/>
        <v/>
      </c>
      <c r="S14" s="6" t="str">
        <f t="shared" si="5"/>
        <v/>
      </c>
      <c r="T14" s="6" t="str">
        <f t="shared" si="6"/>
        <v/>
      </c>
      <c r="U14" s="6" t="str">
        <f t="shared" si="7"/>
        <v/>
      </c>
      <c r="V14" s="6" t="str">
        <f t="shared" si="8"/>
        <v/>
      </c>
      <c r="W14" s="6" t="str">
        <f t="shared" si="9"/>
        <v/>
      </c>
      <c r="X14" s="6" t="str">
        <f t="shared" si="10"/>
        <v/>
      </c>
      <c r="Y14" s="10" t="str">
        <f t="shared" si="23"/>
        <v/>
      </c>
      <c r="Z14" s="10" t="str">
        <f t="shared" si="24"/>
        <v/>
      </c>
      <c r="AA14" s="10" t="str">
        <f t="shared" si="25"/>
        <v/>
      </c>
      <c r="AB14" s="10" t="str">
        <f t="shared" si="26"/>
        <v/>
      </c>
      <c r="AC14" s="10" t="str">
        <f t="shared" si="11"/>
        <v/>
      </c>
      <c r="AD14" s="10" t="str">
        <f t="shared" si="12"/>
        <v/>
      </c>
      <c r="AE14" s="10" t="str">
        <f t="shared" si="13"/>
        <v/>
      </c>
      <c r="AF14" s="10" t="str">
        <f t="shared" si="14"/>
        <v/>
      </c>
      <c r="AG14" t="str">
        <f t="shared" si="15"/>
        <v/>
      </c>
      <c r="AH14" t="str">
        <f t="shared" si="16"/>
        <v/>
      </c>
      <c r="AI14" t="str">
        <f t="shared" si="17"/>
        <v/>
      </c>
      <c r="AJ14" t="str">
        <f t="shared" si="18"/>
        <v/>
      </c>
    </row>
    <row r="15" spans="1:36" x14ac:dyDescent="0.2">
      <c r="A15" s="5">
        <v>12</v>
      </c>
      <c r="B15" s="7"/>
      <c r="C15" s="7"/>
      <c r="D15" s="7"/>
      <c r="E15" s="7"/>
      <c r="F15" s="8" t="str">
        <f>IF($B15="","",SUM($B$4:B15))</f>
        <v/>
      </c>
      <c r="G15" s="8" t="str">
        <f>IF($C15="","",SUM($C$4:C15))</f>
        <v/>
      </c>
      <c r="H15" s="8" t="str">
        <f>IF($D15="","",SUM($D$4:D15))</f>
        <v/>
      </c>
      <c r="I15" s="8" t="str">
        <f>IF($E15="","",SUM($E$4:E15))</f>
        <v/>
      </c>
      <c r="J15" s="9" t="str">
        <f t="shared" si="19"/>
        <v/>
      </c>
      <c r="K15" s="9" t="str">
        <f t="shared" si="20"/>
        <v/>
      </c>
      <c r="L15" s="9" t="str">
        <f t="shared" si="21"/>
        <v/>
      </c>
      <c r="M15" s="9" t="str">
        <f t="shared" si="22"/>
        <v/>
      </c>
      <c r="N15" s="6" t="str">
        <f t="shared" si="0"/>
        <v/>
      </c>
      <c r="O15" s="6" t="str">
        <f t="shared" si="1"/>
        <v/>
      </c>
      <c r="P15" s="6" t="str">
        <f t="shared" si="2"/>
        <v/>
      </c>
      <c r="Q15" s="6" t="str">
        <f t="shared" si="3"/>
        <v/>
      </c>
      <c r="R15" s="6" t="str">
        <f t="shared" si="4"/>
        <v/>
      </c>
      <c r="S15" s="6" t="str">
        <f t="shared" si="5"/>
        <v/>
      </c>
      <c r="T15" s="6" t="str">
        <f t="shared" si="6"/>
        <v/>
      </c>
      <c r="U15" s="6" t="str">
        <f t="shared" si="7"/>
        <v/>
      </c>
      <c r="V15" s="6" t="str">
        <f t="shared" si="8"/>
        <v/>
      </c>
      <c r="W15" s="6" t="str">
        <f t="shared" si="9"/>
        <v/>
      </c>
      <c r="X15" s="6" t="str">
        <f t="shared" si="10"/>
        <v/>
      </c>
      <c r="Y15" s="10" t="str">
        <f t="shared" si="23"/>
        <v/>
      </c>
      <c r="Z15" s="10" t="str">
        <f t="shared" si="24"/>
        <v/>
      </c>
      <c r="AA15" s="10" t="str">
        <f t="shared" si="25"/>
        <v/>
      </c>
      <c r="AB15" s="10" t="str">
        <f t="shared" si="26"/>
        <v/>
      </c>
      <c r="AC15" s="10" t="str">
        <f t="shared" si="11"/>
        <v/>
      </c>
      <c r="AD15" s="10" t="str">
        <f t="shared" si="12"/>
        <v/>
      </c>
      <c r="AE15" s="10" t="str">
        <f t="shared" si="13"/>
        <v/>
      </c>
      <c r="AF15" s="10" t="str">
        <f t="shared" si="14"/>
        <v/>
      </c>
      <c r="AG15" t="str">
        <f t="shared" si="15"/>
        <v/>
      </c>
      <c r="AH15" t="str">
        <f t="shared" si="16"/>
        <v/>
      </c>
      <c r="AI15" t="str">
        <f t="shared" si="17"/>
        <v/>
      </c>
      <c r="AJ15" t="str">
        <f t="shared" si="18"/>
        <v/>
      </c>
    </row>
    <row r="16" spans="1:36" x14ac:dyDescent="0.2">
      <c r="A16" s="5">
        <v>13</v>
      </c>
      <c r="B16" s="7"/>
      <c r="C16" s="7"/>
      <c r="D16" s="7"/>
      <c r="E16" s="7"/>
      <c r="F16" s="8" t="str">
        <f>IF($B16="","",SUM($B$4:B16))</f>
        <v/>
      </c>
      <c r="G16" s="8" t="str">
        <f>IF($C16="","",SUM($C$4:C16))</f>
        <v/>
      </c>
      <c r="H16" s="8" t="str">
        <f>IF($D16="","",SUM($D$4:D16))</f>
        <v/>
      </c>
      <c r="I16" s="8" t="str">
        <f>IF($E16="","",SUM($E$4:E16))</f>
        <v/>
      </c>
      <c r="J16" s="9" t="str">
        <f t="shared" si="19"/>
        <v/>
      </c>
      <c r="K16" s="9" t="str">
        <f t="shared" si="20"/>
        <v/>
      </c>
      <c r="L16" s="9" t="str">
        <f t="shared" si="21"/>
        <v/>
      </c>
      <c r="M16" s="9" t="str">
        <f t="shared" si="22"/>
        <v/>
      </c>
      <c r="N16" s="6" t="str">
        <f t="shared" si="0"/>
        <v/>
      </c>
      <c r="O16" s="6" t="str">
        <f t="shared" si="1"/>
        <v/>
      </c>
      <c r="P16" s="6" t="str">
        <f t="shared" si="2"/>
        <v/>
      </c>
      <c r="Q16" s="6" t="str">
        <f t="shared" si="3"/>
        <v/>
      </c>
      <c r="R16" s="6" t="str">
        <f t="shared" si="4"/>
        <v/>
      </c>
      <c r="S16" s="6" t="str">
        <f t="shared" si="5"/>
        <v/>
      </c>
      <c r="T16" s="6" t="str">
        <f t="shared" si="6"/>
        <v/>
      </c>
      <c r="U16" s="6" t="str">
        <f t="shared" si="7"/>
        <v/>
      </c>
      <c r="V16" s="6" t="str">
        <f t="shared" si="8"/>
        <v/>
      </c>
      <c r="W16" s="6" t="str">
        <f t="shared" si="9"/>
        <v/>
      </c>
      <c r="X16" s="6" t="str">
        <f t="shared" si="10"/>
        <v/>
      </c>
      <c r="Y16" s="10" t="str">
        <f t="shared" si="23"/>
        <v/>
      </c>
      <c r="Z16" s="10" t="str">
        <f t="shared" si="24"/>
        <v/>
      </c>
      <c r="AA16" s="10" t="str">
        <f t="shared" si="25"/>
        <v/>
      </c>
      <c r="AB16" s="10" t="str">
        <f t="shared" si="26"/>
        <v/>
      </c>
      <c r="AC16" s="10" t="str">
        <f t="shared" si="11"/>
        <v/>
      </c>
      <c r="AD16" s="10" t="str">
        <f t="shared" si="12"/>
        <v/>
      </c>
      <c r="AE16" s="10" t="str">
        <f t="shared" si="13"/>
        <v/>
      </c>
      <c r="AF16" s="10" t="str">
        <f t="shared" si="14"/>
        <v/>
      </c>
      <c r="AG16" t="str">
        <f t="shared" si="15"/>
        <v/>
      </c>
      <c r="AH16" t="str">
        <f t="shared" si="16"/>
        <v/>
      </c>
      <c r="AI16" t="str">
        <f t="shared" si="17"/>
        <v/>
      </c>
      <c r="AJ16" t="str">
        <f t="shared" si="18"/>
        <v/>
      </c>
    </row>
    <row r="17" spans="1:36" x14ac:dyDescent="0.2">
      <c r="A17" s="5">
        <v>14</v>
      </c>
      <c r="B17" s="7"/>
      <c r="C17" s="7"/>
      <c r="D17" s="7"/>
      <c r="E17" s="7"/>
      <c r="F17" s="8" t="str">
        <f>IF($B17="","",SUM($B$4:B17))</f>
        <v/>
      </c>
      <c r="G17" s="8" t="str">
        <f>IF($C17="","",SUM($C$4:C17))</f>
        <v/>
      </c>
      <c r="H17" s="8" t="str">
        <f>IF($D17="","",SUM($D$4:D17))</f>
        <v/>
      </c>
      <c r="I17" s="8" t="str">
        <f>IF($E17="","",SUM($E$4:E17))</f>
        <v/>
      </c>
      <c r="J17" s="9" t="str">
        <f t="shared" si="19"/>
        <v/>
      </c>
      <c r="K17" s="9" t="str">
        <f t="shared" si="20"/>
        <v/>
      </c>
      <c r="L17" s="9" t="str">
        <f t="shared" si="21"/>
        <v/>
      </c>
      <c r="M17" s="9" t="str">
        <f t="shared" si="22"/>
        <v/>
      </c>
      <c r="N17" s="6" t="str">
        <f t="shared" si="0"/>
        <v/>
      </c>
      <c r="O17" s="6" t="str">
        <f t="shared" si="1"/>
        <v/>
      </c>
      <c r="P17" s="6" t="str">
        <f t="shared" si="2"/>
        <v/>
      </c>
      <c r="Q17" s="6" t="str">
        <f t="shared" si="3"/>
        <v/>
      </c>
      <c r="R17" s="6" t="str">
        <f t="shared" si="4"/>
        <v/>
      </c>
      <c r="S17" s="6" t="str">
        <f t="shared" si="5"/>
        <v/>
      </c>
      <c r="T17" s="6" t="str">
        <f t="shared" si="6"/>
        <v/>
      </c>
      <c r="U17" s="6" t="str">
        <f t="shared" si="7"/>
        <v/>
      </c>
      <c r="V17" s="6" t="str">
        <f t="shared" si="8"/>
        <v/>
      </c>
      <c r="W17" s="6" t="str">
        <f t="shared" si="9"/>
        <v/>
      </c>
      <c r="X17" s="6" t="str">
        <f t="shared" si="10"/>
        <v/>
      </c>
      <c r="Y17" s="10" t="str">
        <f t="shared" si="23"/>
        <v/>
      </c>
      <c r="Z17" s="10" t="str">
        <f t="shared" si="24"/>
        <v/>
      </c>
      <c r="AA17" s="10" t="str">
        <f t="shared" si="25"/>
        <v/>
      </c>
      <c r="AB17" s="10" t="str">
        <f t="shared" si="26"/>
        <v/>
      </c>
      <c r="AC17" s="10" t="str">
        <f t="shared" si="11"/>
        <v/>
      </c>
      <c r="AD17" s="10" t="str">
        <f t="shared" si="12"/>
        <v/>
      </c>
      <c r="AE17" s="10" t="str">
        <f t="shared" si="13"/>
        <v/>
      </c>
      <c r="AF17" s="10" t="str">
        <f t="shared" si="14"/>
        <v/>
      </c>
      <c r="AG17" t="str">
        <f t="shared" si="15"/>
        <v/>
      </c>
      <c r="AH17" t="str">
        <f t="shared" si="16"/>
        <v/>
      </c>
      <c r="AI17" t="str">
        <f t="shared" si="17"/>
        <v/>
      </c>
      <c r="AJ17" t="str">
        <f t="shared" si="18"/>
        <v/>
      </c>
    </row>
    <row r="18" spans="1:36" x14ac:dyDescent="0.2">
      <c r="A18" s="5">
        <v>15</v>
      </c>
      <c r="B18" s="7"/>
      <c r="C18" s="7"/>
      <c r="D18" s="7"/>
      <c r="E18" s="7"/>
      <c r="F18" s="8" t="str">
        <f>IF($B18="","",SUM($B$4:B18))</f>
        <v/>
      </c>
      <c r="G18" s="8" t="str">
        <f>IF($C18="","",SUM($C$4:C18))</f>
        <v/>
      </c>
      <c r="H18" s="8" t="str">
        <f>IF($D18="","",SUM($D$4:D18))</f>
        <v/>
      </c>
      <c r="I18" s="8" t="str">
        <f>IF($E18="","",SUM($E$4:E18))</f>
        <v/>
      </c>
      <c r="J18" s="9" t="str">
        <f t="shared" si="19"/>
        <v/>
      </c>
      <c r="K18" s="9" t="str">
        <f t="shared" si="20"/>
        <v/>
      </c>
      <c r="L18" s="9" t="str">
        <f t="shared" si="21"/>
        <v/>
      </c>
      <c r="M18" s="9" t="str">
        <f t="shared" si="22"/>
        <v/>
      </c>
      <c r="N18" s="6" t="str">
        <f t="shared" si="0"/>
        <v/>
      </c>
      <c r="O18" s="6" t="str">
        <f t="shared" si="1"/>
        <v/>
      </c>
      <c r="P18" s="6" t="str">
        <f t="shared" si="2"/>
        <v/>
      </c>
      <c r="Q18" s="6" t="str">
        <f t="shared" si="3"/>
        <v/>
      </c>
      <c r="R18" s="6" t="str">
        <f t="shared" si="4"/>
        <v/>
      </c>
      <c r="S18" s="6" t="str">
        <f t="shared" si="5"/>
        <v/>
      </c>
      <c r="T18" s="6" t="str">
        <f t="shared" si="6"/>
        <v/>
      </c>
      <c r="U18" s="6" t="str">
        <f t="shared" si="7"/>
        <v/>
      </c>
      <c r="V18" s="6" t="str">
        <f t="shared" si="8"/>
        <v/>
      </c>
      <c r="W18" s="6" t="str">
        <f t="shared" si="9"/>
        <v/>
      </c>
      <c r="X18" s="6" t="str">
        <f t="shared" si="10"/>
        <v/>
      </c>
      <c r="Y18" s="10" t="str">
        <f t="shared" si="23"/>
        <v/>
      </c>
      <c r="Z18" s="10" t="str">
        <f t="shared" si="24"/>
        <v/>
      </c>
      <c r="AA18" s="10" t="str">
        <f t="shared" si="25"/>
        <v/>
      </c>
      <c r="AB18" s="10" t="str">
        <f t="shared" si="26"/>
        <v/>
      </c>
      <c r="AC18" s="10" t="str">
        <f t="shared" si="11"/>
        <v/>
      </c>
      <c r="AD18" s="10" t="str">
        <f t="shared" si="12"/>
        <v/>
      </c>
      <c r="AE18" s="10" t="str">
        <f t="shared" si="13"/>
        <v/>
      </c>
      <c r="AF18" s="10" t="str">
        <f t="shared" si="14"/>
        <v/>
      </c>
      <c r="AG18" t="str">
        <f t="shared" si="15"/>
        <v/>
      </c>
      <c r="AH18" t="str">
        <f t="shared" si="16"/>
        <v/>
      </c>
      <c r="AI18" t="str">
        <f t="shared" si="17"/>
        <v/>
      </c>
      <c r="AJ18" t="str">
        <f t="shared" si="18"/>
        <v/>
      </c>
    </row>
    <row r="19" spans="1:36" x14ac:dyDescent="0.2">
      <c r="A19" s="5">
        <v>16</v>
      </c>
      <c r="B19" s="7"/>
      <c r="C19" s="7"/>
      <c r="D19" s="7"/>
      <c r="E19" s="7"/>
      <c r="F19" s="8" t="str">
        <f>IF($B19="","",SUM($B$4:B19))</f>
        <v/>
      </c>
      <c r="G19" s="8" t="str">
        <f>IF($C19="","",SUM($C$4:C19))</f>
        <v/>
      </c>
      <c r="H19" s="8" t="str">
        <f>IF($D19="","",SUM($D$4:D19))</f>
        <v/>
      </c>
      <c r="I19" s="8" t="str">
        <f>IF($E19="","",SUM($E$4:E19))</f>
        <v/>
      </c>
      <c r="J19" s="9" t="str">
        <f t="shared" si="19"/>
        <v/>
      </c>
      <c r="K19" s="9" t="str">
        <f t="shared" si="20"/>
        <v/>
      </c>
      <c r="L19" s="9" t="str">
        <f t="shared" si="21"/>
        <v/>
      </c>
      <c r="M19" s="9" t="str">
        <f t="shared" si="22"/>
        <v/>
      </c>
      <c r="N19" s="6" t="str">
        <f t="shared" si="0"/>
        <v/>
      </c>
      <c r="O19" s="6" t="str">
        <f t="shared" si="1"/>
        <v/>
      </c>
      <c r="P19" s="6" t="str">
        <f t="shared" si="2"/>
        <v/>
      </c>
      <c r="Q19" s="6" t="str">
        <f t="shared" si="3"/>
        <v/>
      </c>
      <c r="R19" s="6" t="str">
        <f t="shared" si="4"/>
        <v/>
      </c>
      <c r="S19" s="6" t="str">
        <f t="shared" si="5"/>
        <v/>
      </c>
      <c r="T19" s="6" t="str">
        <f t="shared" si="6"/>
        <v/>
      </c>
      <c r="U19" s="6" t="str">
        <f t="shared" si="7"/>
        <v/>
      </c>
      <c r="V19" s="6" t="str">
        <f t="shared" si="8"/>
        <v/>
      </c>
      <c r="W19" s="6" t="str">
        <f t="shared" si="9"/>
        <v/>
      </c>
      <c r="X19" s="6" t="str">
        <f t="shared" si="10"/>
        <v/>
      </c>
      <c r="Y19" s="10" t="str">
        <f t="shared" si="23"/>
        <v/>
      </c>
      <c r="Z19" s="10" t="str">
        <f t="shared" si="24"/>
        <v/>
      </c>
      <c r="AA19" s="10" t="str">
        <f t="shared" si="25"/>
        <v/>
      </c>
      <c r="AB19" s="10" t="str">
        <f t="shared" si="26"/>
        <v/>
      </c>
      <c r="AC19" s="10" t="str">
        <f t="shared" si="11"/>
        <v/>
      </c>
      <c r="AD19" s="10" t="str">
        <f t="shared" si="12"/>
        <v/>
      </c>
      <c r="AE19" s="10" t="str">
        <f t="shared" si="13"/>
        <v/>
      </c>
      <c r="AF19" s="10" t="str">
        <f t="shared" si="14"/>
        <v/>
      </c>
      <c r="AG19" t="str">
        <f t="shared" si="15"/>
        <v/>
      </c>
      <c r="AH19" t="str">
        <f t="shared" si="16"/>
        <v/>
      </c>
      <c r="AI19" t="str">
        <f t="shared" si="17"/>
        <v/>
      </c>
      <c r="AJ19" t="str">
        <f t="shared" si="18"/>
        <v/>
      </c>
    </row>
    <row r="20" spans="1:36" x14ac:dyDescent="0.2">
      <c r="A20" s="5">
        <v>17</v>
      </c>
      <c r="B20" s="7"/>
      <c r="C20" s="7"/>
      <c r="D20" s="7"/>
      <c r="E20" s="7"/>
      <c r="F20" s="8" t="str">
        <f>IF($B20="","",SUM($B$4:B20))</f>
        <v/>
      </c>
      <c r="G20" s="8" t="str">
        <f>IF($C20="","",SUM($C$4:C20))</f>
        <v/>
      </c>
      <c r="H20" s="8" t="str">
        <f>IF($D20="","",SUM($D$4:D20))</f>
        <v/>
      </c>
      <c r="I20" s="8" t="str">
        <f>IF($E20="","",SUM($E$4:E20))</f>
        <v/>
      </c>
      <c r="J20" s="9" t="str">
        <f t="shared" si="19"/>
        <v/>
      </c>
      <c r="K20" s="9" t="str">
        <f t="shared" si="20"/>
        <v/>
      </c>
      <c r="L20" s="9" t="str">
        <f t="shared" si="21"/>
        <v/>
      </c>
      <c r="M20" s="9" t="str">
        <f t="shared" si="22"/>
        <v/>
      </c>
      <c r="N20" s="6" t="str">
        <f t="shared" si="0"/>
        <v/>
      </c>
      <c r="O20" s="6" t="str">
        <f t="shared" si="1"/>
        <v/>
      </c>
      <c r="P20" s="6" t="str">
        <f t="shared" si="2"/>
        <v/>
      </c>
      <c r="Q20" s="6" t="str">
        <f t="shared" si="3"/>
        <v/>
      </c>
      <c r="R20" s="6" t="str">
        <f t="shared" si="4"/>
        <v/>
      </c>
      <c r="S20" s="6" t="str">
        <f t="shared" si="5"/>
        <v/>
      </c>
      <c r="T20" s="6" t="str">
        <f t="shared" si="6"/>
        <v/>
      </c>
      <c r="U20" s="6" t="str">
        <f t="shared" si="7"/>
        <v/>
      </c>
      <c r="V20" s="6" t="str">
        <f t="shared" si="8"/>
        <v/>
      </c>
      <c r="W20" s="6" t="str">
        <f t="shared" si="9"/>
        <v/>
      </c>
      <c r="X20" s="6" t="str">
        <f t="shared" si="10"/>
        <v/>
      </c>
      <c r="Y20" s="10" t="str">
        <f t="shared" si="23"/>
        <v/>
      </c>
      <c r="Z20" s="10" t="str">
        <f t="shared" si="24"/>
        <v/>
      </c>
      <c r="AA20" s="10" t="str">
        <f t="shared" si="25"/>
        <v/>
      </c>
      <c r="AB20" s="10" t="str">
        <f t="shared" si="26"/>
        <v/>
      </c>
      <c r="AC20" s="10" t="str">
        <f t="shared" si="11"/>
        <v/>
      </c>
      <c r="AD20" s="10" t="str">
        <f t="shared" si="12"/>
        <v/>
      </c>
      <c r="AE20" s="10" t="str">
        <f t="shared" si="13"/>
        <v/>
      </c>
      <c r="AF20" s="10" t="str">
        <f t="shared" si="14"/>
        <v/>
      </c>
      <c r="AG20" t="str">
        <f t="shared" si="15"/>
        <v/>
      </c>
      <c r="AH20" t="str">
        <f t="shared" si="16"/>
        <v/>
      </c>
      <c r="AI20" t="str">
        <f t="shared" si="17"/>
        <v/>
      </c>
      <c r="AJ20" t="str">
        <f t="shared" si="18"/>
        <v/>
      </c>
    </row>
    <row r="21" spans="1:36" x14ac:dyDescent="0.2">
      <c r="A21" s="5">
        <v>18</v>
      </c>
      <c r="B21" s="7"/>
      <c r="C21" s="7"/>
      <c r="D21" s="7"/>
      <c r="E21" s="7"/>
      <c r="F21" s="8" t="str">
        <f>IF($B21="","",SUM($B$4:B21))</f>
        <v/>
      </c>
      <c r="G21" s="8" t="str">
        <f>IF($C21="","",SUM($C$4:C21))</f>
        <v/>
      </c>
      <c r="H21" s="8" t="str">
        <f>IF($D21="","",SUM($D$4:D21))</f>
        <v/>
      </c>
      <c r="I21" s="8" t="str">
        <f>IF($E21="","",SUM($E$4:E21))</f>
        <v/>
      </c>
      <c r="J21" s="9" t="str">
        <f t="shared" si="19"/>
        <v/>
      </c>
      <c r="K21" s="9" t="str">
        <f t="shared" si="20"/>
        <v/>
      </c>
      <c r="L21" s="9" t="str">
        <f t="shared" si="21"/>
        <v/>
      </c>
      <c r="M21" s="9" t="str">
        <f t="shared" si="22"/>
        <v/>
      </c>
      <c r="N21" s="6" t="str">
        <f t="shared" si="0"/>
        <v/>
      </c>
      <c r="O21" s="6" t="str">
        <f t="shared" si="1"/>
        <v/>
      </c>
      <c r="P21" s="6" t="str">
        <f t="shared" si="2"/>
        <v/>
      </c>
      <c r="Q21" s="6" t="str">
        <f t="shared" si="3"/>
        <v/>
      </c>
      <c r="R21" s="6" t="str">
        <f t="shared" si="4"/>
        <v/>
      </c>
      <c r="S21" s="6" t="str">
        <f t="shared" si="5"/>
        <v/>
      </c>
      <c r="T21" s="6" t="str">
        <f t="shared" si="6"/>
        <v/>
      </c>
      <c r="U21" s="6" t="str">
        <f t="shared" si="7"/>
        <v/>
      </c>
      <c r="V21" s="6" t="str">
        <f t="shared" si="8"/>
        <v/>
      </c>
      <c r="W21" s="6" t="str">
        <f t="shared" si="9"/>
        <v/>
      </c>
      <c r="X21" s="6" t="str">
        <f t="shared" si="10"/>
        <v/>
      </c>
      <c r="Y21" s="10" t="str">
        <f t="shared" si="23"/>
        <v/>
      </c>
      <c r="Z21" s="10" t="str">
        <f t="shared" si="24"/>
        <v/>
      </c>
      <c r="AA21" s="10" t="str">
        <f t="shared" si="25"/>
        <v/>
      </c>
      <c r="AB21" s="10" t="str">
        <f t="shared" si="26"/>
        <v/>
      </c>
      <c r="AC21" s="10" t="str">
        <f t="shared" si="11"/>
        <v/>
      </c>
      <c r="AD21" s="10" t="str">
        <f t="shared" si="12"/>
        <v/>
      </c>
      <c r="AE21" s="10" t="str">
        <f t="shared" si="13"/>
        <v/>
      </c>
      <c r="AF21" s="10" t="str">
        <f t="shared" si="14"/>
        <v/>
      </c>
      <c r="AG21" t="str">
        <f t="shared" si="15"/>
        <v/>
      </c>
      <c r="AH21" t="str">
        <f t="shared" si="16"/>
        <v/>
      </c>
      <c r="AI21" t="str">
        <f t="shared" si="17"/>
        <v/>
      </c>
      <c r="AJ21" t="str">
        <f t="shared" si="18"/>
        <v/>
      </c>
    </row>
    <row r="22" spans="1:36" x14ac:dyDescent="0.2">
      <c r="A22" s="17" t="s">
        <v>40</v>
      </c>
      <c r="AG22" s="18">
        <f>SUM(AG4:AG21)</f>
        <v>0</v>
      </c>
      <c r="AH22" s="18">
        <f>SUM(AH4:AH21)</f>
        <v>0</v>
      </c>
      <c r="AI22" s="18">
        <f>SUM(AI4:AI21)</f>
        <v>0</v>
      </c>
      <c r="AJ22" s="18">
        <f>SUM(AJ4:AJ21)</f>
        <v>0</v>
      </c>
    </row>
  </sheetData>
  <mergeCells count="1">
    <mergeCell ref="A1:X1"/>
  </mergeCells>
  <phoneticPr fontId="1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activeCell="A4" sqref="A4"/>
    </sheetView>
  </sheetViews>
  <sheetFormatPr defaultRowHeight="15" x14ac:dyDescent="0.2"/>
  <cols>
    <col min="1" max="1" width="20.04296875" style="19" customWidth="1"/>
    <col min="2" max="3" width="18.0234375" style="19" customWidth="1"/>
    <col min="4" max="6" width="13.98828125" style="19" customWidth="1"/>
  </cols>
  <sheetData>
    <row r="1" spans="1:6" ht="27.95" customHeight="1" x14ac:dyDescent="0.2">
      <c r="A1" s="21" t="s">
        <v>41</v>
      </c>
      <c r="B1" s="22"/>
      <c r="C1" s="22"/>
      <c r="D1" s="22"/>
      <c r="E1" s="22"/>
      <c r="F1" s="22"/>
    </row>
    <row r="3" spans="1:6" ht="30" customHeight="1" x14ac:dyDescent="0.2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</row>
    <row r="4" spans="1:6" x14ac:dyDescent="0.2">
      <c r="A4" s="11" t="str">
        <f>Setup!B5</f>
        <v xml:space="preserve">Nick </v>
      </c>
      <c r="B4" s="7">
        <f>Setup!C5</f>
        <v>0</v>
      </c>
      <c r="C4" s="5">
        <f>SUM(Scorecard!B4:B21)</f>
        <v>0</v>
      </c>
      <c r="D4" s="6">
        <f>SUM(Scorecard!AG4:AG21)</f>
        <v>0</v>
      </c>
      <c r="E4" s="5">
        <f>COUNT(Scorecard!B4:B21)</f>
        <v>0</v>
      </c>
      <c r="F4" s="5" t="str">
        <f>IF(E4=0,"",D4/E4)</f>
        <v/>
      </c>
    </row>
    <row r="5" spans="1:6" x14ac:dyDescent="0.2">
      <c r="A5" s="11" t="str">
        <f>Setup!B6</f>
        <v>Paul</v>
      </c>
      <c r="B5" s="7">
        <f>Setup!C6</f>
        <v>0</v>
      </c>
      <c r="C5" s="5">
        <f>SUM(Scorecard!C4:C21)</f>
        <v>0</v>
      </c>
      <c r="D5" s="6">
        <f>SUM(Scorecard!AH4:AH21)</f>
        <v>0</v>
      </c>
      <c r="E5" s="5">
        <f>COUNT(Scorecard!C4:C21)</f>
        <v>0</v>
      </c>
      <c r="F5" s="5" t="str">
        <f>IF(E5=0,"",D5/E5)</f>
        <v/>
      </c>
    </row>
    <row r="6" spans="1:6" x14ac:dyDescent="0.2">
      <c r="A6" s="11" t="str">
        <f>Setup!B7</f>
        <v>Sam</v>
      </c>
      <c r="B6" s="7">
        <f>Setup!C7</f>
        <v>0</v>
      </c>
      <c r="C6" s="5">
        <f>SUM(Scorecard!D4:D21)</f>
        <v>0</v>
      </c>
      <c r="D6" s="6">
        <f>SUM(Scorecard!AI4:AI21)</f>
        <v>0</v>
      </c>
      <c r="E6" s="5">
        <f>COUNT(Scorecard!D4:D21)</f>
        <v>0</v>
      </c>
      <c r="F6" s="5" t="str">
        <f>IF(E6=0,"",D6/E6)</f>
        <v/>
      </c>
    </row>
    <row r="7" spans="1:6" x14ac:dyDescent="0.2">
      <c r="A7" s="11" t="str">
        <f>Setup!B8</f>
        <v>Andy</v>
      </c>
      <c r="B7" s="7">
        <f>Setup!C8</f>
        <v>0</v>
      </c>
      <c r="C7" s="5">
        <f>SUM(Scorecard!E4:E21)</f>
        <v>0</v>
      </c>
      <c r="D7" s="6">
        <f>SUM(Scorecard!AJ4:AJ21)</f>
        <v>0</v>
      </c>
      <c r="E7" s="5">
        <f>COUNT(Scorecard!E4:E21)</f>
        <v>0</v>
      </c>
      <c r="F7" s="5" t="str">
        <f>IF(E7=0,"",D7/E7)</f>
        <v/>
      </c>
    </row>
    <row r="9" spans="1:6" x14ac:dyDescent="0.2">
      <c r="A9" s="12" t="s">
        <v>48</v>
      </c>
      <c r="B9" s="13"/>
      <c r="C9" s="14">
        <f>SUM(C4:C7)</f>
        <v>0</v>
      </c>
      <c r="D9" s="14">
        <f>SUM(D4:D7)</f>
        <v>0</v>
      </c>
      <c r="E9" s="14">
        <f>MAX(E4:E7)</f>
        <v>0</v>
      </c>
      <c r="F9" s="14" t="str">
        <f>IF(E9=0,"",D9/E9)</f>
        <v/>
      </c>
    </row>
    <row r="11" spans="1:6" x14ac:dyDescent="0.2">
      <c r="A11" s="15" t="s">
        <v>5</v>
      </c>
    </row>
    <row r="12" spans="1:6" x14ac:dyDescent="0.2">
      <c r="A12" s="25" t="s">
        <v>49</v>
      </c>
      <c r="B12" s="22"/>
      <c r="C12" s="22"/>
      <c r="D12" s="22"/>
      <c r="E12" s="22"/>
      <c r="F12" s="22"/>
    </row>
    <row r="13" spans="1:6" x14ac:dyDescent="0.2">
      <c r="A13" s="25" t="s">
        <v>50</v>
      </c>
      <c r="B13" s="22"/>
      <c r="C13" s="22"/>
      <c r="D13" s="22"/>
      <c r="E13" s="22"/>
      <c r="F13" s="22"/>
    </row>
  </sheetData>
  <mergeCells count="3">
    <mergeCell ref="A13:F13"/>
    <mergeCell ref="A1:F1"/>
    <mergeCell ref="A12:F1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Scorecard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2026-01-24T00:14:02Z</dcterms:created>
  <dcterms:modified xsi:type="dcterms:W3CDTF">2026-01-27T06:24:20Z</dcterms:modified>
</cp:coreProperties>
</file>